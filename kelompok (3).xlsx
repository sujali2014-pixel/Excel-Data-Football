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hri\Downloads\"/>
    </mc:Choice>
  </mc:AlternateContent>
  <xr:revisionPtr revIDLastSave="0" documentId="13_ncr:1_{EC49F81C-50F7-46A4-9DC4-991948EE33AA}" xr6:coauthVersionLast="47" xr6:coauthVersionMax="47" xr10:uidLastSave="{00000000-0000-0000-0000-000000000000}"/>
  <bookViews>
    <workbookView xWindow="-108" yWindow="-108" windowWidth="23256" windowHeight="13176" firstSheet="4" activeTab="5" xr2:uid="{FC2F800E-6ECE-43F3-A023-2154FDB97506}"/>
  </bookViews>
  <sheets>
    <sheet name="KLASEMEN" sheetId="1" r:id="rId1"/>
    <sheet name="INFO" sheetId="2" r:id="rId2"/>
    <sheet name="PERTANDINGAN" sheetId="5" r:id="rId3"/>
    <sheet name="BABAK PERTAMA" sheetId="3" r:id="rId4"/>
    <sheet name="BABAK KEDUA" sheetId="4" r:id="rId5"/>
    <sheet name="EXTRA TIME" sheetId="6" r:id="rId6"/>
    <sheet name="Sheet1" sheetId="7" r:id="rId7"/>
  </sheets>
  <definedNames>
    <definedName name="hasil">OFFSET(KLASEMEN!$E$4,KLASEMEN!$N$1,0,1,3)</definedName>
    <definedName name="nama">OFFSET(KLASEMEN!$C$4,KLASEMEN!$N$1,0,1,1)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5" i="1"/>
  <c r="K5" i="1"/>
  <c r="L5" i="1" s="1"/>
  <c r="L19" i="1" l="1"/>
  <c r="L18" i="1"/>
  <c r="L17" i="1"/>
  <c r="L16" i="1"/>
  <c r="L15" i="1"/>
  <c r="L14" i="1"/>
  <c r="L13" i="1"/>
  <c r="L12" i="1"/>
  <c r="L11" i="1"/>
  <c r="L10" i="1"/>
  <c r="L9" i="1"/>
  <c r="L8" i="1"/>
  <c r="L7" i="1"/>
  <c r="L6" i="1"/>
</calcChain>
</file>

<file path=xl/sharedStrings.xml><?xml version="1.0" encoding="utf-8"?>
<sst xmlns="http://schemas.openxmlformats.org/spreadsheetml/2006/main" count="189" uniqueCount="94">
  <si>
    <t>DAFTAR KLASEMEN LIGA INGGRIS MUSIM 2019 - 2020</t>
  </si>
  <si>
    <t>NO.</t>
  </si>
  <si>
    <t>NAMA CLUB</t>
  </si>
  <si>
    <t>MN</t>
  </si>
  <si>
    <t>M</t>
  </si>
  <si>
    <t>S</t>
  </si>
  <si>
    <t>K</t>
  </si>
  <si>
    <t>GM</t>
  </si>
  <si>
    <t>GK</t>
  </si>
  <si>
    <t>SG</t>
  </si>
  <si>
    <t>POIN</t>
  </si>
  <si>
    <t>RANK</t>
  </si>
  <si>
    <t>KETERANGAN</t>
  </si>
  <si>
    <t>Liverpool</t>
  </si>
  <si>
    <t>:Main</t>
  </si>
  <si>
    <t>Man City</t>
  </si>
  <si>
    <t>:Menang</t>
  </si>
  <si>
    <t>Man United</t>
  </si>
  <si>
    <t>:Seri</t>
  </si>
  <si>
    <t>Chelsea</t>
  </si>
  <si>
    <t>:Kalah</t>
  </si>
  <si>
    <t>Leicester</t>
  </si>
  <si>
    <t>:Gol Masuk</t>
  </si>
  <si>
    <t>Tottenham</t>
  </si>
  <si>
    <t>:Gol Kemasukan</t>
  </si>
  <si>
    <t>Wolves</t>
  </si>
  <si>
    <t>:Selisih Gol</t>
  </si>
  <si>
    <t>Arsenal</t>
  </si>
  <si>
    <t>Sheff United</t>
  </si>
  <si>
    <t>Burnley</t>
  </si>
  <si>
    <t>Southampton</t>
  </si>
  <si>
    <t>Everton</t>
  </si>
  <si>
    <t>Newcastle</t>
  </si>
  <si>
    <t>Crystal Palace</t>
  </si>
  <si>
    <t>Brighton</t>
  </si>
  <si>
    <t>TOP SKOR PREMIER LEAGUE</t>
  </si>
  <si>
    <t>Erling Haaland</t>
  </si>
  <si>
    <t>Manchester City</t>
  </si>
  <si>
    <t>Mohammed Salah</t>
  </si>
  <si>
    <t>Mbeumo</t>
  </si>
  <si>
    <t>Manchester United</t>
  </si>
  <si>
    <t>TOP ASSIST PREMIER LEAGUE</t>
  </si>
  <si>
    <t>Bruno Fernandes</t>
  </si>
  <si>
    <t>Jeremy Doku</t>
  </si>
  <si>
    <t>Florian Wirtz</t>
  </si>
  <si>
    <t>Informasi Seluruh Pertandingan</t>
  </si>
  <si>
    <t>Informasi Babak Pertama</t>
  </si>
  <si>
    <t>Informasi Babak Kedua</t>
  </si>
  <si>
    <t>Informasi Extra Time</t>
  </si>
  <si>
    <t>Penguasaan bola</t>
  </si>
  <si>
    <t>Total Tembakan</t>
  </si>
  <si>
    <t>Tembakan Tidak Tepat Sasaran</t>
  </si>
  <si>
    <t>Tembakan Tepat Sasaran</t>
  </si>
  <si>
    <t>Tendangan diblok</t>
  </si>
  <si>
    <t>Penalti</t>
  </si>
  <si>
    <t>Tendangan sudut</t>
  </si>
  <si>
    <t>Offside</t>
  </si>
  <si>
    <t>Pelanggaran</t>
  </si>
  <si>
    <t>Kartu Kuning</t>
  </si>
  <si>
    <t>Kartu Merah</t>
  </si>
  <si>
    <t>Total Umpan</t>
  </si>
  <si>
    <t>Kunci Umpan</t>
  </si>
  <si>
    <t>426(79%)</t>
  </si>
  <si>
    <t>Akurasi Umpan</t>
  </si>
  <si>
    <t>573(84%)</t>
  </si>
  <si>
    <t>6(16%)</t>
  </si>
  <si>
    <t>Akurasi Umpan Silang</t>
  </si>
  <si>
    <t>2(20%)</t>
  </si>
  <si>
    <t>41(41%)</t>
  </si>
  <si>
    <t>Akurasi Bola Panjang</t>
  </si>
  <si>
    <t>21(22%)</t>
  </si>
  <si>
    <t>Tekel</t>
  </si>
  <si>
    <t>Intersepsi</t>
  </si>
  <si>
    <t>Clearance</t>
  </si>
  <si>
    <t>Penyelamatan</t>
  </si>
  <si>
    <t>191 (83%)</t>
  </si>
  <si>
    <t>171 (81%)</t>
  </si>
  <si>
    <t>2 (14%)</t>
  </si>
  <si>
    <t>0 (0%)</t>
  </si>
  <si>
    <t>13 (46%)</t>
  </si>
  <si>
    <t>7 (21%)</t>
  </si>
  <si>
    <t>161 (78%)</t>
  </si>
  <si>
    <t>210 (84%)</t>
  </si>
  <si>
    <t>3 (18%)</t>
  </si>
  <si>
    <t>1(50%)</t>
  </si>
  <si>
    <t>18 (47%)</t>
  </si>
  <si>
    <t>6 (18%)</t>
  </si>
  <si>
    <t>A</t>
  </si>
  <si>
    <t>B</t>
  </si>
  <si>
    <t>Tim</t>
  </si>
  <si>
    <t>Jumlah Sapuan (Clearance)</t>
  </si>
  <si>
    <t>Man Utd</t>
  </si>
  <si>
    <t>Mancester united</t>
  </si>
  <si>
    <t>Serangan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</si>
</sst>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rgb="FF000000"/>
      <name val="Perpetua Titling MT"/>
      <family val="1"/>
    </font>
    <font>
      <sz val="11"/>
      <color rgb="FF000000"/>
      <name val="Aptos Narrow"/>
      <family val="2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9" fontId="0" fillId="0" borderId="0" xfId="0" applyNumberFormat="1"/>
    <xf numFmtId="9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9" fontId="5" fillId="6" borderId="8" xfId="0" applyNumberFormat="1" applyFont="1" applyFill="1" applyBorder="1" applyAlignment="1">
      <alignment horizontal="center"/>
    </xf>
    <xf numFmtId="0" fontId="5" fillId="6" borderId="34" xfId="0" applyFont="1" applyFill="1" applyBorder="1"/>
    <xf numFmtId="9" fontId="5" fillId="6" borderId="34" xfId="0" applyNumberFormat="1" applyFont="1" applyFill="1" applyBorder="1" applyAlignment="1">
      <alignment horizontal="center"/>
    </xf>
    <xf numFmtId="0" fontId="10" fillId="0" borderId="35" xfId="0" applyFont="1" applyBorder="1" applyAlignment="1">
      <alignment readingOrder="1"/>
    </xf>
    <xf numFmtId="0" fontId="11" fillId="0" borderId="35" xfId="0" applyFont="1" applyBorder="1" applyAlignment="1">
      <alignment readingOrder="1"/>
    </xf>
    <xf numFmtId="0" fontId="9" fillId="8" borderId="12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top" wrapText="1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43" xfId="0" applyFont="1" applyFill="1" applyBorder="1" applyAlignment="1">
      <alignment horizontal="center" vertical="top" wrapText="1"/>
    </xf>
    <xf numFmtId="0" fontId="9" fillId="8" borderId="33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9" fillId="8" borderId="44" xfId="0" applyFont="1" applyFill="1" applyBorder="1" applyAlignment="1">
      <alignment horizontal="center" vertical="center" wrapText="1"/>
    </xf>
    <xf numFmtId="0" fontId="1" fillId="9" borderId="0" xfId="0" applyFont="1" applyFill="1"/>
    <xf numFmtId="0" fontId="5" fillId="9" borderId="0" xfId="0" applyFont="1" applyFill="1"/>
    <xf numFmtId="0" fontId="1" fillId="9" borderId="0" xfId="0" applyFont="1" applyFill="1" applyAlignment="1">
      <alignment vertical="center"/>
    </xf>
    <xf numFmtId="0" fontId="0" fillId="9" borderId="0" xfId="0" applyFill="1"/>
    <xf numFmtId="0" fontId="5" fillId="9" borderId="0" xfId="0" applyFont="1" applyFill="1" applyAlignment="1">
      <alignment horizontal="center"/>
    </xf>
    <xf numFmtId="0" fontId="5" fillId="9" borderId="0" xfId="0" applyFont="1" applyFill="1" applyAlignment="1">
      <alignment vertical="center"/>
    </xf>
    <xf numFmtId="9" fontId="5" fillId="9" borderId="7" xfId="0" applyNumberFormat="1" applyFont="1" applyFill="1" applyBorder="1" applyAlignment="1">
      <alignment horizontal="center"/>
    </xf>
    <xf numFmtId="0" fontId="1" fillId="10" borderId="0" xfId="0" applyFont="1" applyFill="1"/>
    <xf numFmtId="0" fontId="9" fillId="9" borderId="0" xfId="0" applyFont="1" applyFill="1" applyAlignment="1">
      <alignment horizontal="center" vertical="top" wrapText="1"/>
    </xf>
    <xf numFmtId="0" fontId="9" fillId="9" borderId="0" xfId="0" applyFont="1" applyFill="1" applyAlignment="1">
      <alignment horizontal="center" vertical="top"/>
    </xf>
    <xf numFmtId="0" fontId="0" fillId="9" borderId="0" xfId="0" applyFill="1" applyAlignment="1">
      <alignment vertical="center"/>
    </xf>
    <xf numFmtId="0" fontId="1" fillId="9" borderId="0" xfId="0" applyFont="1" applyFill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7" borderId="26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39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/>
    </xf>
    <xf numFmtId="0" fontId="12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top"/>
    </xf>
    <xf numFmtId="0" fontId="1" fillId="9" borderId="0" xfId="0" applyFont="1" applyFill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8" xfId="0" applyFont="1" applyFill="1" applyBorder="1" applyAlignment="1">
      <alignment horizontal="center"/>
    </xf>
    <xf numFmtId="9" fontId="5" fillId="5" borderId="2" xfId="0" applyNumberFormat="1" applyFont="1" applyFill="1" applyBorder="1" applyAlignment="1">
      <alignment horizontal="center"/>
    </xf>
    <xf numFmtId="9" fontId="5" fillId="5" borderId="29" xfId="0" applyNumberFormat="1" applyFont="1" applyFill="1" applyBorder="1" applyAlignment="1">
      <alignment horizontal="center"/>
    </xf>
    <xf numFmtId="9" fontId="5" fillId="5" borderId="28" xfId="0" applyNumberFormat="1" applyFont="1" applyFill="1" applyBorder="1" applyAlignment="1">
      <alignment horizontal="center"/>
    </xf>
    <xf numFmtId="9" fontId="5" fillId="5" borderId="3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Style 1" xfId="1" xr:uid="{A3A02DA4-52BB-4C24-A515-6DCB7640A37B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[0]!nama</c:f>
              <c:strCache>
                <c:ptCount val="1"/>
                <c:pt idx="0">
                  <c:v>Liverpool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0D24-4F6E-B592-BD5B43F421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0D24-4F6E-B592-BD5B43F421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0D24-4F6E-B592-BD5B43F421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KLASEMEN!$E$4:$G$4</c:f>
              <c:strCache>
                <c:ptCount val="3"/>
                <c:pt idx="0">
                  <c:v>M</c:v>
                </c:pt>
                <c:pt idx="1">
                  <c:v>S</c:v>
                </c:pt>
                <c:pt idx="2">
                  <c:v>K</c:v>
                </c:pt>
              </c:strCache>
            </c:strRef>
          </c:cat>
          <c:val>
            <c:numRef>
              <c:f>[0]!hasil</c:f>
              <c:numCache>
                <c:formatCode>General</c:formatCode>
                <c:ptCount val="3"/>
                <c:pt idx="0">
                  <c:v>32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B-0D24-4F6E-B592-BD5B43F421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36357925046299"/>
          <c:y val="3.712369691018863E-2"/>
          <c:w val="0.1512459786611457"/>
          <c:h val="0.92635560274016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Sheet1!$L$8</c:f>
              <c:strCache>
                <c:ptCount val="1"/>
                <c:pt idx="0">
                  <c:v>Jumlah Sapuan (Clearance)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65-4249-81B5-ABB47CDE8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80-4180-A189-BF3A5B95836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Sheet1!$K$9:$K$10</c:f>
              <c:strCache>
                <c:ptCount val="2"/>
                <c:pt idx="0">
                  <c:v>Liverpool</c:v>
                </c:pt>
                <c:pt idx="1">
                  <c:v>Man Utd</c:v>
                </c:pt>
              </c:strCache>
            </c:strRef>
          </c:cat>
          <c:val>
            <c:numRef>
              <c:f>Sheet1!$L$9:$L$10</c:f>
              <c:numCache>
                <c:formatCode>General</c:formatCode>
                <c:ptCount val="2"/>
                <c:pt idx="0">
                  <c:v>12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5-4249-81B5-ABB47CDE8B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Penguasaan Bola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Manchester United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9E-4141-B118-674A459E0005}"/>
              </c:ext>
            </c:extLst>
          </c:dPt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E-4141-B118-674A459E0005}"/>
            </c:ext>
          </c:extLst>
        </c:ser>
        <c:ser>
          <c:idx val="1"/>
          <c:order val="1"/>
          <c:tx>
            <c:v>Liverpool</c:v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9E-4141-B118-674A459E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3"/>
        <c:overlap val="100"/>
        <c:axId val="224689671"/>
        <c:axId val="224720903"/>
      </c:barChart>
      <c:catAx>
        <c:axId val="2246896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20903"/>
        <c:crosses val="autoZero"/>
        <c:auto val="1"/>
        <c:lblAlgn val="ctr"/>
        <c:lblOffset val="100"/>
        <c:noMultiLvlLbl val="0"/>
      </c:catAx>
      <c:valAx>
        <c:axId val="22472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68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Sheet1!$C$31</c:f>
              <c:strCache>
                <c:ptCount val="1"/>
                <c:pt idx="0">
                  <c:v>Jumlah Sapuan (Clearance)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60-4B2E-8C6D-05891ABF41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6B-46F1-A2D1-C05C62F4029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Sheet1!$B$32:$B$33</c:f>
              <c:strCache>
                <c:ptCount val="2"/>
                <c:pt idx="0">
                  <c:v>Liverpool</c:v>
                </c:pt>
                <c:pt idx="1">
                  <c:v>Man Utd</c:v>
                </c:pt>
              </c:strCache>
            </c:strRef>
          </c:cat>
          <c:val>
            <c:numRef>
              <c:f>Sheet1!$C$32:$C$33</c:f>
              <c:numCache>
                <c:formatCode>General</c:formatCode>
                <c:ptCount val="2"/>
                <c:pt idx="0">
                  <c:v>4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B-46F1-A2D1-C05C62F402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Penguasaan Bola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Manchester United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DC-4863-9C6B-5AF994569F12}"/>
              </c:ext>
            </c:extLst>
          </c:dPt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C-4863-9C6B-5AF994569F12}"/>
            </c:ext>
          </c:extLst>
        </c:ser>
        <c:ser>
          <c:idx val="1"/>
          <c:order val="1"/>
          <c:tx>
            <c:v>Liverpool</c:v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DC-4863-9C6B-5AF994569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24689671"/>
        <c:axId val="224720903"/>
      </c:barChart>
      <c:catAx>
        <c:axId val="2246896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20903"/>
        <c:crosses val="autoZero"/>
        <c:auto val="1"/>
        <c:lblAlgn val="ctr"/>
        <c:lblOffset val="100"/>
        <c:noMultiLvlLbl val="0"/>
      </c:catAx>
      <c:valAx>
        <c:axId val="22472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68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Penguasaan Bola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Manchester United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9B-4256-B389-7050D33EBBB8}"/>
              </c:ext>
            </c:extLst>
          </c:dPt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9B-4256-B389-7050D33EBBB8}"/>
            </c:ext>
          </c:extLst>
        </c:ser>
        <c:ser>
          <c:idx val="1"/>
          <c:order val="1"/>
          <c:tx>
            <c:v>Liverpool</c:v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9B-4256-B389-7050D33EB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24689671"/>
        <c:axId val="224720903"/>
      </c:barChart>
      <c:catAx>
        <c:axId val="2246896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20903"/>
        <c:crosses val="autoZero"/>
        <c:auto val="1"/>
        <c:lblAlgn val="ctr"/>
        <c:lblOffset val="100"/>
        <c:noMultiLvlLbl val="0"/>
      </c:catAx>
      <c:valAx>
        <c:axId val="22472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68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Sheet1!$C$31</c:f>
              <c:strCache>
                <c:ptCount val="1"/>
                <c:pt idx="0">
                  <c:v>Jumlah Sapuan (Clearance)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C8-46A6-A734-78A81AAF1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04-4F70-A395-D1A892D5E39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Sheet1!$B$32:$B$33</c:f>
              <c:strCache>
                <c:ptCount val="2"/>
                <c:pt idx="0">
                  <c:v>Liverpool</c:v>
                </c:pt>
                <c:pt idx="1">
                  <c:v>Man Utd</c:v>
                </c:pt>
              </c:strCache>
            </c:strRef>
          </c:cat>
          <c:val>
            <c:numRef>
              <c:f>Sheet1!$C$32:$C$33</c:f>
              <c:numCache>
                <c:formatCode>General</c:formatCode>
                <c:ptCount val="2"/>
                <c:pt idx="0">
                  <c:v>4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04-4F70-A395-D1A892D5E3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Manchester United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72-401A-8C18-16A1B566CEAC}"/>
              </c:ext>
            </c:extLst>
          </c:dPt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2-401A-8C18-16A1B566CEAC}"/>
            </c:ext>
          </c:extLst>
        </c:ser>
        <c:ser>
          <c:idx val="1"/>
          <c:order val="1"/>
          <c:tx>
            <c:v>Liverpool</c:v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cat>
            <c:numRef>
              <c:f>('BABAK PERTAMA'!$L$17:$M$17,'BABAK PERTAMA'!$C$17:$D$17,'BABAK PERTAMA'!$C$17:$D$17)</c:f>
              <c:numCache>
                <c:formatCode>0%</c:formatCode>
                <c:ptCount val="6"/>
                <c:pt idx="0">
                  <c:v>0.47</c:v>
                </c:pt>
                <c:pt idx="2">
                  <c:v>0.53</c:v>
                </c:pt>
                <c:pt idx="4">
                  <c:v>0.53</c:v>
                </c:pt>
              </c:numCache>
            </c:numRef>
          </c:cat>
          <c:val>
            <c:numRef>
              <c:f>'BABAK PERTAMA'!$C$17:$D$17</c:f>
              <c:numCache>
                <c:formatCode>0%</c:formatCode>
                <c:ptCount val="2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72-401A-8C18-16A1B566C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3"/>
        <c:overlap val="100"/>
        <c:axId val="224689671"/>
        <c:axId val="224720903"/>
      </c:barChart>
      <c:catAx>
        <c:axId val="2246896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20903"/>
        <c:crosses val="autoZero"/>
        <c:auto val="1"/>
        <c:lblAlgn val="ctr"/>
        <c:lblOffset val="100"/>
        <c:noMultiLvlLbl val="0"/>
      </c:catAx>
      <c:valAx>
        <c:axId val="22472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689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Jumlah Sapuan (Clearance)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Sheet1!$L$8</c:f>
              <c:strCache>
                <c:ptCount val="1"/>
                <c:pt idx="0">
                  <c:v>Jumlah Sapuan (Clearance)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36-4C37-8D50-9963743EC4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2E-49AE-BD29-376328B66C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Sheet1!$K$9:$K$10</c:f>
              <c:strCache>
                <c:ptCount val="2"/>
                <c:pt idx="0">
                  <c:v>Liverpool</c:v>
                </c:pt>
                <c:pt idx="1">
                  <c:v>Man Utd</c:v>
                </c:pt>
              </c:strCache>
            </c:strRef>
          </c:cat>
          <c:val>
            <c:numRef>
              <c:f>Sheet1!$L$9:$L$10</c:f>
              <c:numCache>
                <c:formatCode>General</c:formatCode>
                <c:ptCount val="2"/>
                <c:pt idx="0">
                  <c:v>12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6-4C37-8D50-9963743EC4D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Sheet1!$L$8</c:f>
              <c:strCache>
                <c:ptCount val="1"/>
                <c:pt idx="0">
                  <c:v>Jumlah Sapuan (Clearance)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196B24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96B24"/>
              </a:solidFill>
              <a:ln>
                <a:solidFill>
                  <a:srgbClr val="196B2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FFBE-432D-8485-D4306FDE250E}"/>
              </c:ext>
            </c:extLst>
          </c:dPt>
          <c:cat>
            <c:strRef>
              <c:f>Sheet1!$K$9:$K$10</c:f>
              <c:strCache>
                <c:ptCount val="2"/>
                <c:pt idx="0">
                  <c:v>Liverpool</c:v>
                </c:pt>
                <c:pt idx="1">
                  <c:v>Man Utd</c:v>
                </c:pt>
              </c:strCache>
            </c:strRef>
          </c:cat>
          <c:val>
            <c:numRef>
              <c:f>Sheet1!$L$9:$L$10</c:f>
              <c:numCache>
                <c:formatCode>General</c:formatCode>
                <c:ptCount val="2"/>
                <c:pt idx="0">
                  <c:v>12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A-416B-B513-5D09E13E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120775"/>
        <c:axId val="1689122823"/>
      </c:barChart>
      <c:catAx>
        <c:axId val="1689120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22823"/>
        <c:crosses val="autoZero"/>
        <c:auto val="1"/>
        <c:lblAlgn val="ctr"/>
        <c:lblOffset val="100"/>
        <c:noMultiLvlLbl val="0"/>
      </c:catAx>
      <c:valAx>
        <c:axId val="1689122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2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Jumlah Sapuan (Clearance)</c:v>
                </c:pt>
              </c:strCache>
            </c:strRef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5D-4EBC-94D0-159501283282}"/>
              </c:ext>
            </c:extLst>
          </c:dPt>
          <c:cat>
            <c:strRef>
              <c:f>Sheet1!$B$32:$B$33</c:f>
              <c:strCache>
                <c:ptCount val="2"/>
                <c:pt idx="0">
                  <c:v>Liverpool</c:v>
                </c:pt>
                <c:pt idx="1">
                  <c:v>Man Utd</c:v>
                </c:pt>
              </c:strCache>
            </c:strRef>
          </c:cat>
          <c:val>
            <c:numRef>
              <c:f>Sheet1!$C$32:$C$33</c:f>
              <c:numCache>
                <c:formatCode>General</c:formatCode>
                <c:ptCount val="2"/>
                <c:pt idx="0">
                  <c:v>4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D-4EBC-94D0-159501283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469575"/>
        <c:axId val="163615240"/>
      </c:barChart>
      <c:catAx>
        <c:axId val="2071469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5240"/>
        <c:crosses val="autoZero"/>
        <c:auto val="1"/>
        <c:lblAlgn val="ctr"/>
        <c:lblOffset val="100"/>
        <c:noMultiLvlLbl val="0"/>
      </c:catAx>
      <c:valAx>
        <c:axId val="16361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6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Jumlah Sapuan (Clearance)</c:v>
                </c:pt>
              </c:strCache>
            </c:strRef>
          </c:tx>
          <c:spPr>
            <a:solidFill>
              <a:srgbClr val="196B2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C5-49C7-A83C-23BC8B38F190}"/>
              </c:ext>
            </c:extLst>
          </c:dPt>
          <c:cat>
            <c:strRef>
              <c:f>Sheet1!$B$32:$B$33</c:f>
              <c:strCache>
                <c:ptCount val="2"/>
                <c:pt idx="0">
                  <c:v>Liverpool</c:v>
                </c:pt>
                <c:pt idx="1">
                  <c:v>Man Utd</c:v>
                </c:pt>
              </c:strCache>
            </c:strRef>
          </c:cat>
          <c:val>
            <c:numRef>
              <c:f>Sheet1!$C$32:$C$33</c:f>
              <c:numCache>
                <c:formatCode>General</c:formatCode>
                <c:ptCount val="2"/>
                <c:pt idx="0">
                  <c:v>4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5-49C7-A83C-23BC8B38F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331911"/>
        <c:axId val="2022333959"/>
      </c:barChart>
      <c:catAx>
        <c:axId val="202233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33959"/>
        <c:crosses val="autoZero"/>
        <c:auto val="1"/>
        <c:lblAlgn val="ctr"/>
        <c:lblOffset val="100"/>
        <c:noMultiLvlLbl val="0"/>
      </c:catAx>
      <c:valAx>
        <c:axId val="2022333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3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Serangan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Sheet1!$B$35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60-473E-BE9B-283C66024A2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60-473E-BE9B-283C66024A2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60-473E-BE9B-283C66024A2C}"/>
              </c:ext>
            </c:extLst>
          </c:dPt>
          <c:cat>
            <c:strRef>
              <c:f>Sheet1!$A$36:$A$38</c:f>
              <c:strCache>
                <c:ptCount val="3"/>
                <c:pt idx="0">
                  <c:v>Liverpool</c:v>
                </c:pt>
                <c:pt idx="1">
                  <c:v>Mancester united</c:v>
                </c:pt>
                <c:pt idx="2">
                  <c:v>Tim</c:v>
                </c:pt>
              </c:strCache>
            </c:strRef>
          </c:cat>
          <c:val>
            <c:numRef>
              <c:f>Sheet1!$B$36:$B$38</c:f>
              <c:numCache>
                <c:formatCode>General</c:formatCode>
                <c:ptCount val="3"/>
                <c:pt idx="0">
                  <c:v>185</c:v>
                </c:pt>
                <c:pt idx="1">
                  <c:v>113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F-4E29-BF40-F3076AC94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1" fmlaLink="$N$1" fmlaRange="$C$5:$C$19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fhlogo.blogspot.com/2011/02/manchester-united-fc.html" TargetMode="External"/><Relationship Id="rId3" Type="http://schemas.openxmlformats.org/officeDocument/2006/relationships/hyperlink" Target="#'BABAK KEDUA'!A1"/><Relationship Id="rId7" Type="http://schemas.openxmlformats.org/officeDocument/2006/relationships/image" Target="../media/image2.png"/><Relationship Id="rId2" Type="http://schemas.openxmlformats.org/officeDocument/2006/relationships/hyperlink" Target="#'BABAK PERTAMA'!A1"/><Relationship Id="rId1" Type="http://schemas.openxmlformats.org/officeDocument/2006/relationships/hyperlink" Target="#PERTANDINGAN!A1"/><Relationship Id="rId6" Type="http://schemas.openxmlformats.org/officeDocument/2006/relationships/hyperlink" Target="https://fhlogo.blogspot.com/2011/02/liverpool-fc.html" TargetMode="External"/><Relationship Id="rId5" Type="http://schemas.openxmlformats.org/officeDocument/2006/relationships/image" Target="../media/image1.png"/><Relationship Id="rId4" Type="http://schemas.openxmlformats.org/officeDocument/2006/relationships/hyperlink" Target="#'EXTRA TIME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fhlogo.blogspot.com/2011/02/manchester-united-fc.html" TargetMode="External"/><Relationship Id="rId3" Type="http://schemas.openxmlformats.org/officeDocument/2006/relationships/hyperlink" Target="#'BABAK KEDUA'!A1"/><Relationship Id="rId7" Type="http://schemas.openxmlformats.org/officeDocument/2006/relationships/image" Target="../media/image2.png"/><Relationship Id="rId2" Type="http://schemas.openxmlformats.org/officeDocument/2006/relationships/hyperlink" Target="#'BABAK PERTAMA'!A1"/><Relationship Id="rId1" Type="http://schemas.openxmlformats.org/officeDocument/2006/relationships/hyperlink" Target="#INFO!A1"/><Relationship Id="rId6" Type="http://schemas.openxmlformats.org/officeDocument/2006/relationships/hyperlink" Target="https://fhlogo.blogspot.com/2011/02/liverpool-fc.html" TargetMode="External"/><Relationship Id="rId5" Type="http://schemas.openxmlformats.org/officeDocument/2006/relationships/image" Target="../media/image1.png"/><Relationship Id="rId10" Type="http://schemas.openxmlformats.org/officeDocument/2006/relationships/chart" Target="../charts/chart3.xml"/><Relationship Id="rId4" Type="http://schemas.openxmlformats.org/officeDocument/2006/relationships/hyperlink" Target="#'EXTRA TIME'!A1"/><Relationship Id="rId9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://fhlogo.blogspot.com/2011/02/manchester-united-fc.html" TargetMode="External"/><Relationship Id="rId3" Type="http://schemas.openxmlformats.org/officeDocument/2006/relationships/hyperlink" Target="#'BABAK KEDUA'!A1"/><Relationship Id="rId7" Type="http://schemas.openxmlformats.org/officeDocument/2006/relationships/image" Target="../media/image2.png"/><Relationship Id="rId2" Type="http://schemas.openxmlformats.org/officeDocument/2006/relationships/hyperlink" Target="#INFO!A1"/><Relationship Id="rId1" Type="http://schemas.openxmlformats.org/officeDocument/2006/relationships/hyperlink" Target="#PERTANDINGAN!A1"/><Relationship Id="rId6" Type="http://schemas.openxmlformats.org/officeDocument/2006/relationships/hyperlink" Target="https://fhlogo.blogspot.com/2011/02/liverpool-fc.html" TargetMode="External"/><Relationship Id="rId5" Type="http://schemas.openxmlformats.org/officeDocument/2006/relationships/image" Target="../media/image1.png"/><Relationship Id="rId10" Type="http://schemas.openxmlformats.org/officeDocument/2006/relationships/chart" Target="../charts/chart5.xml"/><Relationship Id="rId4" Type="http://schemas.openxmlformats.org/officeDocument/2006/relationships/hyperlink" Target="#'EXTRA TIME'!A1"/><Relationship Id="rId9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://fhlogo.blogspot.com/2011/02/manchester-united-fc.html" TargetMode="External"/><Relationship Id="rId3" Type="http://schemas.openxmlformats.org/officeDocument/2006/relationships/hyperlink" Target="#INFO!A1"/><Relationship Id="rId7" Type="http://schemas.openxmlformats.org/officeDocument/2006/relationships/image" Target="../media/image2.png"/><Relationship Id="rId2" Type="http://schemas.openxmlformats.org/officeDocument/2006/relationships/hyperlink" Target="#'BABAK PERTAMA'!A1"/><Relationship Id="rId1" Type="http://schemas.openxmlformats.org/officeDocument/2006/relationships/hyperlink" Target="#PERTANDINGAN!A1"/><Relationship Id="rId6" Type="http://schemas.openxmlformats.org/officeDocument/2006/relationships/hyperlink" Target="https://fhlogo.blogspot.com/2011/02/liverpool-fc.html" TargetMode="External"/><Relationship Id="rId5" Type="http://schemas.openxmlformats.org/officeDocument/2006/relationships/image" Target="../media/image3.png"/><Relationship Id="rId10" Type="http://schemas.openxmlformats.org/officeDocument/2006/relationships/chart" Target="../charts/chart7.xml"/><Relationship Id="rId4" Type="http://schemas.openxmlformats.org/officeDocument/2006/relationships/hyperlink" Target="#'EXTRA TIME'!A1"/><Relationship Id="rId9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://fhlogo.blogspot.com/2011/02/manchester-united-fc.html" TargetMode="External"/><Relationship Id="rId3" Type="http://schemas.openxmlformats.org/officeDocument/2006/relationships/hyperlink" Target="#INFO!A1"/><Relationship Id="rId7" Type="http://schemas.openxmlformats.org/officeDocument/2006/relationships/image" Target="../media/image2.png"/><Relationship Id="rId2" Type="http://schemas.openxmlformats.org/officeDocument/2006/relationships/hyperlink" Target="#'BABAK PERTAMA'!A1"/><Relationship Id="rId1" Type="http://schemas.openxmlformats.org/officeDocument/2006/relationships/hyperlink" Target="#PERTANDINGAN!A1"/><Relationship Id="rId6" Type="http://schemas.openxmlformats.org/officeDocument/2006/relationships/hyperlink" Target="https://fhlogo.blogspot.com/2011/02/liverpool-fc.html" TargetMode="External"/><Relationship Id="rId5" Type="http://schemas.openxmlformats.org/officeDocument/2006/relationships/image" Target="../media/image3.png"/><Relationship Id="rId10" Type="http://schemas.openxmlformats.org/officeDocument/2006/relationships/chart" Target="../charts/chart9.xml"/><Relationship Id="rId4" Type="http://schemas.openxmlformats.org/officeDocument/2006/relationships/hyperlink" Target="#'BABAK KEDUA'!A1"/><Relationship Id="rId9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12</xdr:row>
          <xdr:rowOff>7620</xdr:rowOff>
        </xdr:from>
        <xdr:to>
          <xdr:col>16</xdr:col>
          <xdr:colOff>7620</xdr:colOff>
          <xdr:row>12</xdr:row>
          <xdr:rowOff>182880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66399</xdr:colOff>
      <xdr:row>14</xdr:row>
      <xdr:rowOff>64743</xdr:rowOff>
    </xdr:from>
    <xdr:to>
      <xdr:col>16</xdr:col>
      <xdr:colOff>66675</xdr:colOff>
      <xdr:row>25</xdr:row>
      <xdr:rowOff>175177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E1A0F-30C5-E7B1-1599-33837340D8AA}"/>
            </a:ext>
            <a:ext uri="{147F2762-F138-4A5C-976F-8EAC2B608ADB}">
              <a16:predDERef xmlns:a16="http://schemas.microsoft.com/office/drawing/2014/main" pred="{00000000-0008-0000-0000-000005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36079</xdr:colOff>
      <xdr:row>0</xdr:row>
      <xdr:rowOff>21648</xdr:rowOff>
    </xdr:from>
    <xdr:to>
      <xdr:col>16</xdr:col>
      <xdr:colOff>0</xdr:colOff>
      <xdr:row>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023815-7A00-7018-1C94-FA83D3250ABD}"/>
            </a:ext>
          </a:extLst>
        </xdr:cNvPr>
        <xdr:cNvSpPr/>
      </xdr:nvSpPr>
      <xdr:spPr>
        <a:xfrm>
          <a:off x="7772154" y="21648"/>
          <a:ext cx="2858975" cy="17636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KETERANGAN DAN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11141</xdr:colOff>
      <xdr:row>0</xdr:row>
      <xdr:rowOff>0</xdr:rowOff>
    </xdr:from>
    <xdr:to>
      <xdr:col>2</xdr:col>
      <xdr:colOff>300789</xdr:colOff>
      <xdr:row>291</xdr:row>
      <xdr:rowOff>167104</xdr:rowOff>
    </xdr:to>
    <xdr:sp macro="" textlink="">
      <xdr:nvSpPr>
        <xdr:cNvPr id="11" name="Rectangle 4">
          <a:extLst>
            <a:ext uri="{FF2B5EF4-FFF2-40B4-BE49-F238E27FC236}">
              <a16:creationId xmlns:a16="http://schemas.microsoft.com/office/drawing/2014/main" id="{A44044AB-E68F-F53D-9B53-9A6157A9F2E3}"/>
            </a:ext>
          </a:extLst>
        </xdr:cNvPr>
        <xdr:cNvSpPr/>
      </xdr:nvSpPr>
      <xdr:spPr>
        <a:xfrm>
          <a:off x="11141" y="0"/>
          <a:ext cx="1515087" cy="52303946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0</xdr:colOff>
      <xdr:row>0</xdr:row>
      <xdr:rowOff>133350</xdr:rowOff>
    </xdr:from>
    <xdr:to>
      <xdr:col>2</xdr:col>
      <xdr:colOff>450850</xdr:colOff>
      <xdr:row>4</xdr:row>
      <xdr:rowOff>31750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402C3-DC9C-3C09-640B-3103B314B281}"/>
            </a:ext>
          </a:extLst>
        </xdr:cNvPr>
        <xdr:cNvSpPr/>
      </xdr:nvSpPr>
      <xdr:spPr>
        <a:xfrm>
          <a:off x="0" y="133350"/>
          <a:ext cx="1670050" cy="635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PERRTANDINGAN</a:t>
          </a:r>
        </a:p>
      </xdr:txBody>
    </xdr:sp>
    <xdr:clientData/>
  </xdr:twoCellAnchor>
  <xdr:twoCellAnchor>
    <xdr:from>
      <xdr:col>0</xdr:col>
      <xdr:colOff>0</xdr:colOff>
      <xdr:row>5</xdr:row>
      <xdr:rowOff>152400</xdr:rowOff>
    </xdr:from>
    <xdr:to>
      <xdr:col>2</xdr:col>
      <xdr:colOff>450850</xdr:colOff>
      <xdr:row>9</xdr:row>
      <xdr:rowOff>50800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EE158A-B954-4E18-A39F-C768E5E16E19}"/>
            </a:ext>
          </a:extLst>
        </xdr:cNvPr>
        <xdr:cNvSpPr/>
      </xdr:nvSpPr>
      <xdr:spPr>
        <a:xfrm>
          <a:off x="0" y="1073150"/>
          <a:ext cx="1670050" cy="635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PERTAMA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10</xdr:row>
      <xdr:rowOff>158750</xdr:rowOff>
    </xdr:from>
    <xdr:to>
      <xdr:col>2</xdr:col>
      <xdr:colOff>450850</xdr:colOff>
      <xdr:row>14</xdr:row>
      <xdr:rowOff>44450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4A63FF-1D86-480B-BAD9-E4CEEA1639DE}"/>
            </a:ext>
          </a:extLst>
        </xdr:cNvPr>
        <xdr:cNvSpPr/>
      </xdr:nvSpPr>
      <xdr:spPr>
        <a:xfrm>
          <a:off x="0" y="2032000"/>
          <a:ext cx="1670050" cy="635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 KEDUA</a:t>
          </a:r>
        </a:p>
      </xdr:txBody>
    </xdr:sp>
    <xdr:clientData/>
  </xdr:twoCellAnchor>
  <xdr:twoCellAnchor>
    <xdr:from>
      <xdr:col>0</xdr:col>
      <xdr:colOff>0</xdr:colOff>
      <xdr:row>15</xdr:row>
      <xdr:rowOff>177800</xdr:rowOff>
    </xdr:from>
    <xdr:to>
      <xdr:col>2</xdr:col>
      <xdr:colOff>450850</xdr:colOff>
      <xdr:row>19</xdr:row>
      <xdr:rowOff>63500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4BE350-4833-4A66-A2A7-A2B5E1085207}"/>
            </a:ext>
          </a:extLst>
        </xdr:cNvPr>
        <xdr:cNvSpPr/>
      </xdr:nvSpPr>
      <xdr:spPr>
        <a:xfrm>
          <a:off x="0" y="2997200"/>
          <a:ext cx="1670050" cy="635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EXTRA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TIME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199029</xdr:colOff>
      <xdr:row>0</xdr:row>
      <xdr:rowOff>0</xdr:rowOff>
    </xdr:from>
    <xdr:to>
      <xdr:col>17</xdr:col>
      <xdr:colOff>18539</xdr:colOff>
      <xdr:row>11</xdr:row>
      <xdr:rowOff>40402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547BEFC-58C8-475E-B268-8F714097D9A2}"/>
            </a:ext>
          </a:extLst>
        </xdr:cNvPr>
        <xdr:cNvSpPr/>
      </xdr:nvSpPr>
      <xdr:spPr>
        <a:xfrm>
          <a:off x="4359701" y="0"/>
          <a:ext cx="6491748" cy="2097044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D" sz="1100"/>
        </a:p>
        <a:p>
          <a:pPr algn="ctr"/>
          <a:r>
            <a:rPr lang="en-ID" sz="1200" b="1"/>
            <a:t>AKHIR</a:t>
          </a:r>
          <a:r>
            <a:rPr lang="en-ID" sz="1200" b="1" baseline="0"/>
            <a:t> PERTANDINGAN</a:t>
          </a:r>
        </a:p>
        <a:p>
          <a:pPr algn="ctr"/>
          <a:endParaRPr lang="en-ID" sz="1100" baseline="0"/>
        </a:p>
        <a:p>
          <a:pPr algn="ctr"/>
          <a:endParaRPr lang="en-ID" sz="1100" baseline="0"/>
        </a:p>
        <a:p>
          <a:pPr algn="ctr"/>
          <a:r>
            <a:rPr lang="en-ID" sz="1100" baseline="0"/>
            <a:t>(1)        </a:t>
          </a:r>
          <a:r>
            <a:rPr lang="en-ID" sz="3200" baseline="0"/>
            <a:t>0-1</a:t>
          </a:r>
          <a:r>
            <a:rPr lang="en-ID" sz="1100" baseline="0"/>
            <a:t>       (4)</a:t>
          </a:r>
        </a:p>
        <a:p>
          <a:pPr algn="ctr"/>
          <a:endParaRPr lang="en-ID" sz="1100"/>
        </a:p>
        <a:p>
          <a:pPr algn="l"/>
          <a:r>
            <a:rPr lang="en-ID" sz="1100"/>
            <a:t>              </a:t>
          </a:r>
        </a:p>
        <a:p>
          <a:pPr algn="l"/>
          <a:r>
            <a:rPr lang="en-ID" sz="1100" baseline="0"/>
            <a:t>         </a:t>
          </a:r>
          <a:r>
            <a:rPr lang="en-ID" sz="1100"/>
            <a:t>                        </a:t>
          </a:r>
          <a:r>
            <a:rPr lang="en-ID" sz="1200" b="1"/>
            <a:t>Liverpool</a:t>
          </a:r>
          <a:r>
            <a:rPr lang="en-ID" sz="1100"/>
            <a:t>                                                                                                                            </a:t>
          </a:r>
          <a:r>
            <a:rPr lang="en-ID" sz="1100" baseline="0"/>
            <a:t>     Manchester United</a:t>
          </a:r>
          <a:endParaRPr lang="en-ID" sz="1100" b="1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r>
            <a:rPr lang="en-ID" sz="1100"/>
            <a:t>                                            </a:t>
          </a:r>
        </a:p>
      </xdr:txBody>
    </xdr:sp>
    <xdr:clientData/>
  </xdr:twoCellAnchor>
  <xdr:twoCellAnchor editAs="oneCell">
    <xdr:from>
      <xdr:col>7</xdr:col>
      <xdr:colOff>445443</xdr:colOff>
      <xdr:row>0</xdr:row>
      <xdr:rowOff>66346</xdr:rowOff>
    </xdr:from>
    <xdr:to>
      <xdr:col>9</xdr:col>
      <xdr:colOff>288654</xdr:colOff>
      <xdr:row>8</xdr:row>
      <xdr:rowOff>9509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CBD35-996D-4C8D-B304-9FA1375F0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5212682" y="66346"/>
          <a:ext cx="1056345" cy="1421670"/>
        </a:xfrm>
        <a:prstGeom prst="rect">
          <a:avLst/>
        </a:prstGeom>
      </xdr:spPr>
    </xdr:pic>
    <xdr:clientData/>
  </xdr:twoCellAnchor>
  <xdr:twoCellAnchor editAs="oneCell">
    <xdr:from>
      <xdr:col>14</xdr:col>
      <xdr:colOff>274854</xdr:colOff>
      <xdr:row>1</xdr:row>
      <xdr:rowOff>18952</xdr:rowOff>
    </xdr:from>
    <xdr:to>
      <xdr:col>16</xdr:col>
      <xdr:colOff>271279</xdr:colOff>
      <xdr:row>8</xdr:row>
      <xdr:rowOff>1687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139897-B356-4F0F-9044-5026CA698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 rot="10800000" flipH="1" flipV="1">
          <a:off x="9288063" y="199027"/>
          <a:ext cx="1209559" cy="1281167"/>
        </a:xfrm>
        <a:prstGeom prst="rect">
          <a:avLst/>
        </a:prstGeom>
      </xdr:spPr>
    </xdr:pic>
    <xdr:clientData/>
  </xdr:twoCellAnchor>
  <xdr:twoCellAnchor>
    <xdr:from>
      <xdr:col>6</xdr:col>
      <xdr:colOff>161119</xdr:colOff>
      <xdr:row>12</xdr:row>
      <xdr:rowOff>0</xdr:rowOff>
    </xdr:from>
    <xdr:to>
      <xdr:col>17</xdr:col>
      <xdr:colOff>16827</xdr:colOff>
      <xdr:row>16</xdr:row>
      <xdr:rowOff>2632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3FDE3EE-EA03-4E96-AB1D-32C61B8D8000}"/>
            </a:ext>
          </a:extLst>
        </xdr:cNvPr>
        <xdr:cNvSpPr/>
      </xdr:nvSpPr>
      <xdr:spPr>
        <a:xfrm>
          <a:off x="4321791" y="2236716"/>
          <a:ext cx="6527946" cy="760841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>
              <a:latin typeface="Arial" panose="020B0604020202020204" pitchFamily="34" charset="0"/>
              <a:cs typeface="Arial" panose="020B0604020202020204" pitchFamily="34" charset="0"/>
            </a:rPr>
            <a:t>LIVER</a:t>
          </a:r>
          <a:r>
            <a:rPr lang="en-ID" sz="1600" baseline="0">
              <a:latin typeface="Arial" panose="020B0604020202020204" pitchFamily="34" charset="0"/>
              <a:cs typeface="Arial" panose="020B0604020202020204" pitchFamily="34" charset="0"/>
            </a:rPr>
            <a:t>POOL VS MAN UNITED</a:t>
          </a:r>
          <a:endParaRPr lang="en-ID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85481</xdr:colOff>
      <xdr:row>223</xdr:row>
      <xdr:rowOff>12211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8D56A8-9904-42AB-B87B-FC87CA531ADA}"/>
            </a:ext>
          </a:extLst>
        </xdr:cNvPr>
        <xdr:cNvSpPr/>
      </xdr:nvSpPr>
      <xdr:spPr>
        <a:xfrm>
          <a:off x="0" y="0"/>
          <a:ext cx="1306635" cy="4358298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0</xdr:colOff>
      <xdr:row>0</xdr:row>
      <xdr:rowOff>152400</xdr:rowOff>
    </xdr:from>
    <xdr:to>
      <xdr:col>2</xdr:col>
      <xdr:colOff>450850</xdr:colOff>
      <xdr:row>4</xdr:row>
      <xdr:rowOff>63500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A7077C-438F-48E6-B146-11AC1B1D4993}"/>
            </a:ext>
          </a:extLst>
        </xdr:cNvPr>
        <xdr:cNvSpPr/>
      </xdr:nvSpPr>
      <xdr:spPr>
        <a:xfrm>
          <a:off x="0" y="1524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INFO</a:t>
          </a:r>
        </a:p>
      </xdr:txBody>
    </xdr:sp>
    <xdr:clientData/>
  </xdr:twoCellAnchor>
  <xdr:twoCellAnchor>
    <xdr:from>
      <xdr:col>0</xdr:col>
      <xdr:colOff>0</xdr:colOff>
      <xdr:row>5</xdr:row>
      <xdr:rowOff>120650</xdr:rowOff>
    </xdr:from>
    <xdr:to>
      <xdr:col>2</xdr:col>
      <xdr:colOff>450850</xdr:colOff>
      <xdr:row>9</xdr:row>
      <xdr:rowOff>31750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5FB397-4325-41D9-B593-98595BAE83BA}"/>
            </a:ext>
          </a:extLst>
        </xdr:cNvPr>
        <xdr:cNvSpPr/>
      </xdr:nvSpPr>
      <xdr:spPr>
        <a:xfrm>
          <a:off x="0" y="10414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PERTAMA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10</xdr:row>
      <xdr:rowOff>139700</xdr:rowOff>
    </xdr:from>
    <xdr:to>
      <xdr:col>2</xdr:col>
      <xdr:colOff>450850</xdr:colOff>
      <xdr:row>14</xdr:row>
      <xdr:rowOff>50800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7B03BB-BE59-4E1B-974F-6EF9799590D1}"/>
            </a:ext>
          </a:extLst>
        </xdr:cNvPr>
        <xdr:cNvSpPr/>
      </xdr:nvSpPr>
      <xdr:spPr>
        <a:xfrm>
          <a:off x="0" y="19812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KEDUA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15</xdr:row>
      <xdr:rowOff>144259</xdr:rowOff>
    </xdr:from>
    <xdr:to>
      <xdr:col>2</xdr:col>
      <xdr:colOff>450850</xdr:colOff>
      <xdr:row>19</xdr:row>
      <xdr:rowOff>89551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3052DF-A635-42B3-A897-693DC26212B1}"/>
            </a:ext>
          </a:extLst>
        </xdr:cNvPr>
        <xdr:cNvSpPr/>
      </xdr:nvSpPr>
      <xdr:spPr>
        <a:xfrm>
          <a:off x="0" y="3075028"/>
          <a:ext cx="1672004" cy="726831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EXTRA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TIME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20266</xdr:colOff>
      <xdr:row>0</xdr:row>
      <xdr:rowOff>27021</xdr:rowOff>
    </xdr:from>
    <xdr:to>
      <xdr:col>14</xdr:col>
      <xdr:colOff>25400</xdr:colOff>
      <xdr:row>10</xdr:row>
      <xdr:rowOff>128351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6AF8ABF-47CF-DAAA-D016-596D7B11F870}"/>
            </a:ext>
          </a:extLst>
        </xdr:cNvPr>
        <xdr:cNvSpPr/>
      </xdr:nvSpPr>
      <xdr:spPr>
        <a:xfrm>
          <a:off x="1851997" y="27021"/>
          <a:ext cx="6721480" cy="2055176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D" sz="1100"/>
        </a:p>
        <a:p>
          <a:pPr algn="ctr"/>
          <a:r>
            <a:rPr lang="en-ID" sz="1200" b="1"/>
            <a:t>AKHIR</a:t>
          </a:r>
          <a:r>
            <a:rPr lang="en-ID" sz="1200" b="1" baseline="0"/>
            <a:t> PERTANDINGAN</a:t>
          </a:r>
        </a:p>
        <a:p>
          <a:pPr algn="ctr"/>
          <a:endParaRPr lang="en-ID" sz="1100" baseline="0"/>
        </a:p>
        <a:p>
          <a:pPr algn="ctr"/>
          <a:endParaRPr lang="en-ID" sz="1100" baseline="0"/>
        </a:p>
        <a:p>
          <a:pPr algn="ctr"/>
          <a:r>
            <a:rPr lang="en-ID" sz="1100" baseline="0"/>
            <a:t>(1)        </a:t>
          </a:r>
          <a:r>
            <a:rPr lang="en-ID" sz="3200" baseline="0"/>
            <a:t>0-1</a:t>
          </a:r>
          <a:r>
            <a:rPr lang="en-ID" sz="1100" baseline="0"/>
            <a:t>       (4)</a:t>
          </a:r>
        </a:p>
        <a:p>
          <a:pPr algn="ctr"/>
          <a:endParaRPr lang="en-ID" sz="1100"/>
        </a:p>
        <a:p>
          <a:pPr algn="l"/>
          <a:r>
            <a:rPr lang="en-ID" sz="1100"/>
            <a:t>              </a:t>
          </a:r>
        </a:p>
        <a:p>
          <a:pPr algn="l"/>
          <a:r>
            <a:rPr lang="en-ID" sz="1100" baseline="0"/>
            <a:t>         </a:t>
          </a:r>
          <a:r>
            <a:rPr lang="en-ID" sz="1100"/>
            <a:t>                        </a:t>
          </a:r>
          <a:r>
            <a:rPr lang="en-ID" sz="1200" b="1"/>
            <a:t>Liverpool</a:t>
          </a:r>
          <a:r>
            <a:rPr lang="en-ID" sz="1100"/>
            <a:t>                                                                                                                            </a:t>
          </a:r>
          <a:r>
            <a:rPr lang="en-ID" sz="1100" baseline="0"/>
            <a:t>     Manchester United</a:t>
          </a:r>
          <a:endParaRPr lang="en-ID" sz="1100" b="1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r>
            <a:rPr lang="en-ID" sz="1100"/>
            <a:t>                                            </a:t>
          </a:r>
        </a:p>
      </xdr:txBody>
    </xdr:sp>
    <xdr:clientData/>
  </xdr:twoCellAnchor>
  <xdr:twoCellAnchor>
    <xdr:from>
      <xdr:col>3</xdr:col>
      <xdr:colOff>13511</xdr:colOff>
      <xdr:row>11</xdr:row>
      <xdr:rowOff>13511</xdr:rowOff>
    </xdr:from>
    <xdr:to>
      <xdr:col>14</xdr:col>
      <xdr:colOff>16933</xdr:colOff>
      <xdr:row>14</xdr:row>
      <xdr:rowOff>175638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71C1EDF-ACF1-4075-8E76-77E961B72188}"/>
            </a:ext>
          </a:extLst>
        </xdr:cNvPr>
        <xdr:cNvSpPr/>
      </xdr:nvSpPr>
      <xdr:spPr>
        <a:xfrm>
          <a:off x="1845242" y="2162742"/>
          <a:ext cx="6719768" cy="748281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>
              <a:latin typeface="Arial" panose="020B0604020202020204" pitchFamily="34" charset="0"/>
              <a:cs typeface="Arial" panose="020B0604020202020204" pitchFamily="34" charset="0"/>
            </a:rPr>
            <a:t>STATISTIK</a:t>
          </a:r>
          <a:r>
            <a:rPr lang="en-ID" sz="1200" baseline="0">
              <a:latin typeface="Arial" panose="020B0604020202020204" pitchFamily="34" charset="0"/>
              <a:cs typeface="Arial" panose="020B0604020202020204" pitchFamily="34" charset="0"/>
            </a:rPr>
            <a:t> SELURUH PERTANDINGAN</a:t>
          </a:r>
          <a:endParaRPr lang="en-ID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238078</xdr:colOff>
      <xdr:row>1</xdr:row>
      <xdr:rowOff>12323</xdr:rowOff>
    </xdr:from>
    <xdr:to>
      <xdr:col>6</xdr:col>
      <xdr:colOff>78852</xdr:colOff>
      <xdr:row>8</xdr:row>
      <xdr:rowOff>36993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3582000-5743-215D-CFC3-AF05A160A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680386" y="207708"/>
          <a:ext cx="1061928" cy="1411412"/>
        </a:xfrm>
        <a:prstGeom prst="rect">
          <a:avLst/>
        </a:prstGeom>
      </xdr:spPr>
    </xdr:pic>
    <xdr:clientData/>
  </xdr:twoCellAnchor>
  <xdr:twoCellAnchor editAs="oneCell">
    <xdr:from>
      <xdr:col>11</xdr:col>
      <xdr:colOff>64355</xdr:colOff>
      <xdr:row>1</xdr:row>
      <xdr:rowOff>143018</xdr:rowOff>
    </xdr:from>
    <xdr:to>
      <xdr:col>13</xdr:col>
      <xdr:colOff>58343</xdr:colOff>
      <xdr:row>8</xdr:row>
      <xdr:rowOff>27185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3DCCDB-6BB7-46D5-BB16-4EEDB59C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 rot="10800000" flipH="1" flipV="1">
          <a:off x="6780701" y="338403"/>
          <a:ext cx="1215142" cy="1270909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1</xdr:row>
      <xdr:rowOff>9525</xdr:rowOff>
    </xdr:from>
    <xdr:to>
      <xdr:col>22</xdr:col>
      <xdr:colOff>76200</xdr:colOff>
      <xdr:row>15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6E6FD09-E0AF-4BEE-BF5D-9597EFAEEFF1}"/>
            </a:ext>
            <a:ext uri="{147F2762-F138-4A5C-976F-8EAC2B608ADB}">
              <a16:predDERef xmlns:a16="http://schemas.microsoft.com/office/drawing/2014/main" pred="{9E3DCCDB-6BB7-46D5-BB16-4EEDB59C5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19050</xdr:colOff>
      <xdr:row>17</xdr:row>
      <xdr:rowOff>9525</xdr:rowOff>
    </xdr:from>
    <xdr:to>
      <xdr:col>13</xdr:col>
      <xdr:colOff>542925</xdr:colOff>
      <xdr:row>32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FF7D667-DBE8-4C30-BCE7-6B522441C53E}"/>
            </a:ext>
            <a:ext uri="{147F2762-F138-4A5C-976F-8EAC2B608ADB}">
              <a16:predDERef xmlns:a16="http://schemas.microsoft.com/office/drawing/2014/main" pred="{56E6FD09-E0AF-4BEE-BF5D-9597EFAEE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0</xdr:col>
      <xdr:colOff>1168400</xdr:colOff>
      <xdr:row>230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9CD361-1A29-4B81-A2EF-C368E74F9E5F}"/>
            </a:ext>
          </a:extLst>
        </xdr:cNvPr>
        <xdr:cNvSpPr/>
      </xdr:nvSpPr>
      <xdr:spPr>
        <a:xfrm>
          <a:off x="1" y="0"/>
          <a:ext cx="1168399" cy="468630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0</xdr:colOff>
      <xdr:row>0</xdr:row>
      <xdr:rowOff>193524</xdr:rowOff>
    </xdr:from>
    <xdr:to>
      <xdr:col>1</xdr:col>
      <xdr:colOff>55336</xdr:colOff>
      <xdr:row>4</xdr:row>
      <xdr:rowOff>42938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F9B13-5C40-4079-8564-F83771DE2149}"/>
            </a:ext>
          </a:extLst>
        </xdr:cNvPr>
        <xdr:cNvSpPr/>
      </xdr:nvSpPr>
      <xdr:spPr>
        <a:xfrm>
          <a:off x="0" y="193524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PERTANDINGAN</a:t>
          </a:r>
        </a:p>
      </xdr:txBody>
    </xdr:sp>
    <xdr:clientData/>
  </xdr:twoCellAnchor>
  <xdr:twoCellAnchor>
    <xdr:from>
      <xdr:col>0</xdr:col>
      <xdr:colOff>0</xdr:colOff>
      <xdr:row>6</xdr:row>
      <xdr:rowOff>7256</xdr:rowOff>
    </xdr:from>
    <xdr:to>
      <xdr:col>1</xdr:col>
      <xdr:colOff>55336</xdr:colOff>
      <xdr:row>9</xdr:row>
      <xdr:rowOff>56242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BA3D7F-1786-4FBA-B677-405ABF74AE5C}"/>
            </a:ext>
          </a:extLst>
        </xdr:cNvPr>
        <xdr:cNvSpPr/>
      </xdr:nvSpPr>
      <xdr:spPr>
        <a:xfrm>
          <a:off x="0" y="1204685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INFO</a:t>
          </a:r>
        </a:p>
      </xdr:txBody>
    </xdr:sp>
    <xdr:clientData/>
  </xdr:twoCellAnchor>
  <xdr:twoCellAnchor>
    <xdr:from>
      <xdr:col>0</xdr:col>
      <xdr:colOff>0</xdr:colOff>
      <xdr:row>10</xdr:row>
      <xdr:rowOff>159657</xdr:rowOff>
    </xdr:from>
    <xdr:to>
      <xdr:col>1</xdr:col>
      <xdr:colOff>55336</xdr:colOff>
      <xdr:row>14</xdr:row>
      <xdr:rowOff>9071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2A54A0-C29D-4518-AD72-6B7F0ADF466A}"/>
            </a:ext>
          </a:extLst>
        </xdr:cNvPr>
        <xdr:cNvSpPr/>
      </xdr:nvSpPr>
      <xdr:spPr>
        <a:xfrm>
          <a:off x="0" y="2155371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KEDUA</a:t>
          </a:r>
        </a:p>
      </xdr:txBody>
    </xdr:sp>
    <xdr:clientData/>
  </xdr:twoCellAnchor>
  <xdr:twoCellAnchor>
    <xdr:from>
      <xdr:col>0</xdr:col>
      <xdr:colOff>0</xdr:colOff>
      <xdr:row>15</xdr:row>
      <xdr:rowOff>154818</xdr:rowOff>
    </xdr:from>
    <xdr:to>
      <xdr:col>1</xdr:col>
      <xdr:colOff>55336</xdr:colOff>
      <xdr:row>21</xdr:row>
      <xdr:rowOff>76804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F53E05-F8B7-4D9F-8356-04DAB11696B2}"/>
            </a:ext>
          </a:extLst>
        </xdr:cNvPr>
        <xdr:cNvSpPr/>
      </xdr:nvSpPr>
      <xdr:spPr>
        <a:xfrm>
          <a:off x="0" y="3130247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EXTRA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TIME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13</xdr:col>
      <xdr:colOff>8467</xdr:colOff>
      <xdr:row>10</xdr:row>
      <xdr:rowOff>106166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0714B90-82EF-464C-8D81-C86C9396ED81}"/>
            </a:ext>
          </a:extLst>
        </xdr:cNvPr>
        <xdr:cNvSpPr/>
      </xdr:nvSpPr>
      <xdr:spPr>
        <a:xfrm>
          <a:off x="2345267" y="0"/>
          <a:ext cx="7543800" cy="2053499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D" sz="1100"/>
        </a:p>
        <a:p>
          <a:pPr algn="ctr"/>
          <a:r>
            <a:rPr lang="en-ID" sz="1200" b="1"/>
            <a:t>AKHIR</a:t>
          </a:r>
          <a:r>
            <a:rPr lang="en-ID" sz="1200" b="1" baseline="0"/>
            <a:t> PERTANDINGAN</a:t>
          </a:r>
        </a:p>
        <a:p>
          <a:pPr algn="ctr"/>
          <a:endParaRPr lang="en-ID" sz="1100" baseline="0"/>
        </a:p>
        <a:p>
          <a:pPr algn="ctr"/>
          <a:endParaRPr lang="en-ID" sz="1100" baseline="0"/>
        </a:p>
        <a:p>
          <a:pPr algn="ctr"/>
          <a:r>
            <a:rPr lang="en-ID" sz="1100" baseline="0"/>
            <a:t>(1)        </a:t>
          </a:r>
          <a:r>
            <a:rPr lang="en-ID" sz="3200" baseline="0"/>
            <a:t>0-1</a:t>
          </a:r>
          <a:r>
            <a:rPr lang="en-ID" sz="1100" baseline="0"/>
            <a:t>       (4)</a:t>
          </a:r>
        </a:p>
        <a:p>
          <a:pPr algn="ctr"/>
          <a:endParaRPr lang="en-ID" sz="1100"/>
        </a:p>
        <a:p>
          <a:pPr algn="l"/>
          <a:r>
            <a:rPr lang="en-ID" sz="1100"/>
            <a:t>              </a:t>
          </a:r>
        </a:p>
        <a:p>
          <a:pPr algn="l"/>
          <a:r>
            <a:rPr lang="en-ID" sz="1100" baseline="0"/>
            <a:t>         </a:t>
          </a:r>
          <a:r>
            <a:rPr lang="en-ID" sz="1100"/>
            <a:t>                        </a:t>
          </a:r>
          <a:r>
            <a:rPr lang="en-ID" sz="1200" b="1"/>
            <a:t>Liverpool</a:t>
          </a:r>
          <a:r>
            <a:rPr lang="en-ID" sz="1100"/>
            <a:t>                                                                                                                                                 </a:t>
          </a:r>
          <a:r>
            <a:rPr lang="en-ID" sz="1200" b="1"/>
            <a:t>Manchester</a:t>
          </a:r>
          <a:r>
            <a:rPr lang="en-ID" sz="1200" b="1" baseline="0"/>
            <a:t> United</a:t>
          </a:r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r>
            <a:rPr lang="en-ID" sz="1100"/>
            <a:t>                                            </a:t>
          </a:r>
        </a:p>
      </xdr:txBody>
    </xdr:sp>
    <xdr:clientData/>
  </xdr:twoCellAnchor>
  <xdr:twoCellAnchor editAs="oneCell">
    <xdr:from>
      <xdr:col>3</xdr:col>
      <xdr:colOff>81733</xdr:colOff>
      <xdr:row>0</xdr:row>
      <xdr:rowOff>113168</xdr:rowOff>
    </xdr:from>
    <xdr:to>
      <xdr:col>4</xdr:col>
      <xdr:colOff>414354</xdr:colOff>
      <xdr:row>7</xdr:row>
      <xdr:rowOff>160273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6E663C-63C7-431B-B771-F49B7823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3156139" y="113168"/>
          <a:ext cx="1061928" cy="141141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12</xdr:col>
      <xdr:colOff>592667</xdr:colOff>
      <xdr:row>14</xdr:row>
      <xdr:rowOff>163578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A6328DF-B54D-4715-85B7-2680ACE021BF}"/>
            </a:ext>
          </a:extLst>
        </xdr:cNvPr>
        <xdr:cNvSpPr/>
      </xdr:nvSpPr>
      <xdr:spPr>
        <a:xfrm>
          <a:off x="2345267" y="2142067"/>
          <a:ext cx="7518400" cy="747778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>
              <a:latin typeface="Arial" panose="020B0604020202020204" pitchFamily="34" charset="0"/>
              <a:cs typeface="Arial" panose="020B0604020202020204" pitchFamily="34" charset="0"/>
            </a:rPr>
            <a:t>STATISTIK</a:t>
          </a:r>
          <a:r>
            <a:rPr lang="en-ID" sz="1200" baseline="0">
              <a:latin typeface="Arial" panose="020B0604020202020204" pitchFamily="34" charset="0"/>
              <a:cs typeface="Arial" panose="020B0604020202020204" pitchFamily="34" charset="0"/>
            </a:rPr>
            <a:t> BABAK PERTAMA</a:t>
          </a:r>
          <a:endParaRPr lang="en-ID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309655</xdr:colOff>
      <xdr:row>1</xdr:row>
      <xdr:rowOff>34766</xdr:rowOff>
    </xdr:from>
    <xdr:to>
      <xdr:col>11</xdr:col>
      <xdr:colOff>311875</xdr:colOff>
      <xdr:row>7</xdr:row>
      <xdr:rowOff>107023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C17766-AE18-FF1B-C41F-67F36A50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 rot="10800000" flipH="1" flipV="1">
          <a:off x="7751284" y="234541"/>
          <a:ext cx="1215142" cy="1270909"/>
        </a:xfrm>
        <a:prstGeom prst="rect">
          <a:avLst/>
        </a:prstGeom>
      </xdr:spPr>
    </xdr:pic>
    <xdr:clientData/>
  </xdr:twoCellAnchor>
  <xdr:twoCellAnchor>
    <xdr:from>
      <xdr:col>14</xdr:col>
      <xdr:colOff>9525</xdr:colOff>
      <xdr:row>1</xdr:row>
      <xdr:rowOff>9525</xdr:rowOff>
    </xdr:from>
    <xdr:to>
      <xdr:col>21</xdr:col>
      <xdr:colOff>514350</xdr:colOff>
      <xdr:row>15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200274-205A-4425-B219-1749A1B00663}"/>
            </a:ext>
            <a:ext uri="{147F2762-F138-4A5C-976F-8EAC2B608ADB}">
              <a16:predDERef xmlns:a16="http://schemas.microsoft.com/office/drawing/2014/main" pred="{1335028A-5244-B56C-5654-4A85A2071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19050</xdr:colOff>
      <xdr:row>17</xdr:row>
      <xdr:rowOff>0</xdr:rowOff>
    </xdr:from>
    <xdr:to>
      <xdr:col>12</xdr:col>
      <xdr:colOff>514350</xdr:colOff>
      <xdr:row>33</xdr:row>
      <xdr:rowOff>114300</xdr:rowOff>
    </xdr:to>
    <xdr:graphicFrame macro="">
      <xdr:nvGraphicFramePr>
        <xdr:cNvPr id="9" name="Bagan 8">
          <a:extLst>
            <a:ext uri="{FF2B5EF4-FFF2-40B4-BE49-F238E27FC236}">
              <a16:creationId xmlns:a16="http://schemas.microsoft.com/office/drawing/2014/main" id="{4A859C0A-0EFC-469E-A993-CC641D3D5961}"/>
            </a:ext>
            <a:ext uri="{147F2762-F138-4A5C-976F-8EAC2B608ADB}">
              <a16:predDERef xmlns:a16="http://schemas.microsoft.com/office/drawing/2014/main" pred="{CC200274-205A-4425-B219-1749A1B00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279830</xdr:colOff>
      <xdr:row>137</xdr:row>
      <xdr:rowOff>129153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B56742-E018-4D78-8995-79DE112C9E95}"/>
            </a:ext>
          </a:extLst>
        </xdr:cNvPr>
        <xdr:cNvSpPr/>
      </xdr:nvSpPr>
      <xdr:spPr>
        <a:xfrm>
          <a:off x="0" y="0"/>
          <a:ext cx="1506779" cy="266700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0</xdr:colOff>
      <xdr:row>0</xdr:row>
      <xdr:rowOff>158750</xdr:rowOff>
    </xdr:from>
    <xdr:to>
      <xdr:col>2</xdr:col>
      <xdr:colOff>450850</xdr:colOff>
      <xdr:row>4</xdr:row>
      <xdr:rowOff>69850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41399-36FD-4DD3-A9D5-A2C41D1BBC67}"/>
            </a:ext>
          </a:extLst>
        </xdr:cNvPr>
        <xdr:cNvSpPr/>
      </xdr:nvSpPr>
      <xdr:spPr>
        <a:xfrm>
          <a:off x="0" y="15875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PERTANDINGAN</a:t>
          </a:r>
        </a:p>
      </xdr:txBody>
    </xdr:sp>
    <xdr:clientData/>
  </xdr:twoCellAnchor>
  <xdr:twoCellAnchor>
    <xdr:from>
      <xdr:col>0</xdr:col>
      <xdr:colOff>0</xdr:colOff>
      <xdr:row>5</xdr:row>
      <xdr:rowOff>127000</xdr:rowOff>
    </xdr:from>
    <xdr:to>
      <xdr:col>2</xdr:col>
      <xdr:colOff>450850</xdr:colOff>
      <xdr:row>9</xdr:row>
      <xdr:rowOff>38100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AA6367-16C8-4722-AA1B-02CBF1E64D20}"/>
            </a:ext>
          </a:extLst>
        </xdr:cNvPr>
        <xdr:cNvSpPr/>
      </xdr:nvSpPr>
      <xdr:spPr>
        <a:xfrm>
          <a:off x="0" y="104775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PERTAMA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10</xdr:row>
      <xdr:rowOff>139700</xdr:rowOff>
    </xdr:from>
    <xdr:to>
      <xdr:col>2</xdr:col>
      <xdr:colOff>450850</xdr:colOff>
      <xdr:row>14</xdr:row>
      <xdr:rowOff>50800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4E121B-419A-41F3-8AB9-EAF6938FCF3A}"/>
            </a:ext>
          </a:extLst>
        </xdr:cNvPr>
        <xdr:cNvSpPr/>
      </xdr:nvSpPr>
      <xdr:spPr>
        <a:xfrm>
          <a:off x="0" y="19812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INFO</a:t>
          </a:r>
        </a:p>
      </xdr:txBody>
    </xdr:sp>
    <xdr:clientData/>
  </xdr:twoCellAnchor>
  <xdr:twoCellAnchor>
    <xdr:from>
      <xdr:col>0</xdr:col>
      <xdr:colOff>0</xdr:colOff>
      <xdr:row>15</xdr:row>
      <xdr:rowOff>165100</xdr:rowOff>
    </xdr:from>
    <xdr:to>
      <xdr:col>2</xdr:col>
      <xdr:colOff>450850</xdr:colOff>
      <xdr:row>19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341ACB-9F30-460E-9651-A4D5E2007218}"/>
            </a:ext>
          </a:extLst>
        </xdr:cNvPr>
        <xdr:cNvSpPr/>
      </xdr:nvSpPr>
      <xdr:spPr>
        <a:xfrm>
          <a:off x="0" y="292735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EXTRA TIME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14</xdr:col>
      <xdr:colOff>15880</xdr:colOff>
      <xdr:row>10</xdr:row>
      <xdr:rowOff>86676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825401D-B93A-4F25-BF84-DF276FD1ADEE}"/>
            </a:ext>
          </a:extLst>
        </xdr:cNvPr>
        <xdr:cNvSpPr/>
      </xdr:nvSpPr>
      <xdr:spPr>
        <a:xfrm>
          <a:off x="1828800" y="0"/>
          <a:ext cx="6721480" cy="2055176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D" sz="1100"/>
        </a:p>
        <a:p>
          <a:pPr algn="ctr"/>
          <a:r>
            <a:rPr lang="en-ID" sz="1200" b="1"/>
            <a:t>AKHIR</a:t>
          </a:r>
          <a:r>
            <a:rPr lang="en-ID" sz="1200" b="1" baseline="0"/>
            <a:t> PERTANDINGAN</a:t>
          </a:r>
        </a:p>
        <a:p>
          <a:pPr algn="ctr"/>
          <a:endParaRPr lang="en-ID" sz="1100" baseline="0"/>
        </a:p>
        <a:p>
          <a:pPr algn="ctr"/>
          <a:endParaRPr lang="en-ID" sz="1100" baseline="0"/>
        </a:p>
        <a:p>
          <a:pPr algn="ctr"/>
          <a:r>
            <a:rPr lang="en-ID" sz="1100" baseline="0"/>
            <a:t>(1)        </a:t>
          </a:r>
          <a:r>
            <a:rPr lang="en-ID" sz="3200" baseline="0"/>
            <a:t>0-1</a:t>
          </a:r>
          <a:r>
            <a:rPr lang="en-ID" sz="1100" baseline="0"/>
            <a:t>       (4)</a:t>
          </a:r>
        </a:p>
        <a:p>
          <a:pPr algn="ctr"/>
          <a:endParaRPr lang="en-ID" sz="1100"/>
        </a:p>
        <a:p>
          <a:pPr algn="l"/>
          <a:r>
            <a:rPr lang="en-ID" sz="1100"/>
            <a:t>              </a:t>
          </a:r>
        </a:p>
        <a:p>
          <a:pPr algn="l"/>
          <a:r>
            <a:rPr lang="en-ID" sz="1100" baseline="0"/>
            <a:t>         </a:t>
          </a:r>
          <a:r>
            <a:rPr lang="en-ID" sz="1100"/>
            <a:t>                        </a:t>
          </a:r>
          <a:r>
            <a:rPr lang="en-ID" sz="1200" b="1"/>
            <a:t>Liverpool</a:t>
          </a:r>
          <a:r>
            <a:rPr lang="en-ID" sz="1100"/>
            <a:t>                                                                                                                                 Man</a:t>
          </a:r>
          <a:r>
            <a:rPr lang="en-ID" sz="1100" baseline="0"/>
            <a:t>chester United</a:t>
          </a:r>
          <a:endParaRPr lang="en-ID" sz="1100" b="1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r>
            <a:rPr lang="en-ID" sz="1100"/>
            <a:t>                                            </a:t>
          </a:r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14</xdr:col>
      <xdr:colOff>14168</xdr:colOff>
      <xdr:row>14</xdr:row>
      <xdr:rowOff>157731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176B972-F934-4CE4-BD39-6CFD5CCF285C}"/>
            </a:ext>
          </a:extLst>
        </xdr:cNvPr>
        <xdr:cNvSpPr/>
      </xdr:nvSpPr>
      <xdr:spPr>
        <a:xfrm>
          <a:off x="1828800" y="2165350"/>
          <a:ext cx="6719768" cy="748281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>
              <a:latin typeface="Arial" panose="020B0604020202020204" pitchFamily="34" charset="0"/>
              <a:cs typeface="Arial" panose="020B0604020202020204" pitchFamily="34" charset="0"/>
            </a:rPr>
            <a:t>STATISTIK</a:t>
          </a:r>
          <a:r>
            <a:rPr lang="en-ID" sz="1200" baseline="0">
              <a:latin typeface="Arial" panose="020B0604020202020204" pitchFamily="34" charset="0"/>
              <a:cs typeface="Arial" panose="020B0604020202020204" pitchFamily="34" charset="0"/>
            </a:rPr>
            <a:t> BABAK KEDUA</a:t>
          </a:r>
          <a:endParaRPr lang="en-ID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203200</xdr:colOff>
      <xdr:row>0</xdr:row>
      <xdr:rowOff>133350</xdr:rowOff>
    </xdr:from>
    <xdr:to>
      <xdr:col>6</xdr:col>
      <xdr:colOff>45928</xdr:colOff>
      <xdr:row>7</xdr:row>
      <xdr:rowOff>166812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3FCDA8-ED20-49FF-8076-A1836EC6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641600" y="133350"/>
          <a:ext cx="1061928" cy="1411412"/>
        </a:xfrm>
        <a:prstGeom prst="rect">
          <a:avLst/>
        </a:prstGeom>
      </xdr:spPr>
    </xdr:pic>
    <xdr:clientData/>
  </xdr:twoCellAnchor>
  <xdr:twoCellAnchor editAs="oneCell">
    <xdr:from>
      <xdr:col>11</xdr:col>
      <xdr:colOff>6650</xdr:colOff>
      <xdr:row>1</xdr:row>
      <xdr:rowOff>106440</xdr:rowOff>
    </xdr:from>
    <xdr:to>
      <xdr:col>12</xdr:col>
      <xdr:colOff>580896</xdr:colOff>
      <xdr:row>8</xdr:row>
      <xdr:rowOff>1516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985E85-90E2-492E-B16F-F68876004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 rot="10800000" flipH="1" flipV="1">
          <a:off x="6742186" y="302988"/>
          <a:ext cx="1215142" cy="1270909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180975</xdr:rowOff>
    </xdr:from>
    <xdr:to>
      <xdr:col>14</xdr:col>
      <xdr:colOff>38100</xdr:colOff>
      <xdr:row>33</xdr:row>
      <xdr:rowOff>104775</xdr:rowOff>
    </xdr:to>
    <xdr:graphicFrame macro="">
      <xdr:nvGraphicFramePr>
        <xdr:cNvPr id="10" name="Bagan 8">
          <a:extLst>
            <a:ext uri="{FF2B5EF4-FFF2-40B4-BE49-F238E27FC236}">
              <a16:creationId xmlns:a16="http://schemas.microsoft.com/office/drawing/2014/main" id="{46215F82-4DD5-417D-8A4E-F5703EC7C252}"/>
            </a:ext>
            <a:ext uri="{147F2762-F138-4A5C-976F-8EAC2B608ADB}">
              <a16:predDERef xmlns:a16="http://schemas.microsoft.com/office/drawing/2014/main" pred="{D3985E85-90E2-492E-B16F-F68876004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9525</xdr:colOff>
      <xdr:row>2</xdr:row>
      <xdr:rowOff>0</xdr:rowOff>
    </xdr:from>
    <xdr:to>
      <xdr:col>22</xdr:col>
      <xdr:colOff>514350</xdr:colOff>
      <xdr:row>16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142242-7D37-4DD6-82FF-588A36F0D98B}"/>
            </a:ext>
            <a:ext uri="{147F2762-F138-4A5C-976F-8EAC2B608ADB}">
              <a16:predDERef xmlns:a16="http://schemas.microsoft.com/office/drawing/2014/main" pred="{46215F82-4DD5-417D-8A4E-F5703EC7C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204839</xdr:colOff>
      <xdr:row>160</xdr:row>
      <xdr:rowOff>153629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2EF092B-4E51-4448-9C08-9BC33D661D0C}"/>
            </a:ext>
          </a:extLst>
        </xdr:cNvPr>
        <xdr:cNvSpPr/>
      </xdr:nvSpPr>
      <xdr:spPr>
        <a:xfrm>
          <a:off x="0" y="0"/>
          <a:ext cx="1433871" cy="29875726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0</xdr:colOff>
      <xdr:row>0</xdr:row>
      <xdr:rowOff>165100</xdr:rowOff>
    </xdr:from>
    <xdr:to>
      <xdr:col>2</xdr:col>
      <xdr:colOff>450850</xdr:colOff>
      <xdr:row>4</xdr:row>
      <xdr:rowOff>76200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0A68D8-11DC-45B6-B0EB-227AD1E3B9CC}"/>
            </a:ext>
          </a:extLst>
        </xdr:cNvPr>
        <xdr:cNvSpPr/>
      </xdr:nvSpPr>
      <xdr:spPr>
        <a:xfrm>
          <a:off x="0" y="1651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PERTANDINGAN</a:t>
          </a:r>
        </a:p>
      </xdr:txBody>
    </xdr:sp>
    <xdr:clientData/>
  </xdr:twoCellAnchor>
  <xdr:twoCellAnchor>
    <xdr:from>
      <xdr:col>0</xdr:col>
      <xdr:colOff>0</xdr:colOff>
      <xdr:row>5</xdr:row>
      <xdr:rowOff>171450</xdr:rowOff>
    </xdr:from>
    <xdr:to>
      <xdr:col>2</xdr:col>
      <xdr:colOff>450850</xdr:colOff>
      <xdr:row>9</xdr:row>
      <xdr:rowOff>82550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82CC14-0011-4483-BDCA-185F1AD7CF71}"/>
            </a:ext>
          </a:extLst>
        </xdr:cNvPr>
        <xdr:cNvSpPr/>
      </xdr:nvSpPr>
      <xdr:spPr>
        <a:xfrm>
          <a:off x="0" y="10922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PERTAMA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15</xdr:row>
      <xdr:rowOff>171450</xdr:rowOff>
    </xdr:from>
    <xdr:to>
      <xdr:col>2</xdr:col>
      <xdr:colOff>450850</xdr:colOff>
      <xdr:row>19</xdr:row>
      <xdr:rowOff>82550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F3D834-87AF-4931-8CD6-689BA9781002}"/>
            </a:ext>
          </a:extLst>
        </xdr:cNvPr>
        <xdr:cNvSpPr/>
      </xdr:nvSpPr>
      <xdr:spPr>
        <a:xfrm>
          <a:off x="0" y="29337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INFO</a:t>
          </a:r>
          <a:endParaRPr lang="en-ID" sz="12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10</xdr:row>
      <xdr:rowOff>165100</xdr:rowOff>
    </xdr:from>
    <xdr:to>
      <xdr:col>2</xdr:col>
      <xdr:colOff>450850</xdr:colOff>
      <xdr:row>14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023F6F-5BCB-45F6-B63E-E03EE13C4649}"/>
            </a:ext>
          </a:extLst>
        </xdr:cNvPr>
        <xdr:cNvSpPr/>
      </xdr:nvSpPr>
      <xdr:spPr>
        <a:xfrm>
          <a:off x="0" y="2006600"/>
          <a:ext cx="1670050" cy="6477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BABAK</a:t>
          </a:r>
          <a:r>
            <a:rPr lang="en-ID" sz="12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KEDUA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14</xdr:col>
      <xdr:colOff>35070</xdr:colOff>
      <xdr:row>10</xdr:row>
      <xdr:rowOff>171575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874B74C-A09D-461C-A8FE-81BE691AD65A}"/>
            </a:ext>
          </a:extLst>
        </xdr:cNvPr>
        <xdr:cNvSpPr/>
      </xdr:nvSpPr>
      <xdr:spPr>
        <a:xfrm>
          <a:off x="1831731" y="0"/>
          <a:ext cx="6751416" cy="2052152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D" sz="1100"/>
        </a:p>
        <a:p>
          <a:pPr algn="ctr"/>
          <a:r>
            <a:rPr lang="en-ID" sz="1200" b="1"/>
            <a:t>AKHIR</a:t>
          </a:r>
          <a:r>
            <a:rPr lang="en-ID" sz="1200" b="1" baseline="0"/>
            <a:t> PERTANDINGAN</a:t>
          </a:r>
        </a:p>
        <a:p>
          <a:pPr algn="ctr"/>
          <a:endParaRPr lang="en-ID" sz="1100" baseline="0"/>
        </a:p>
        <a:p>
          <a:pPr algn="ctr"/>
          <a:endParaRPr lang="en-ID" sz="1100" baseline="0"/>
        </a:p>
        <a:p>
          <a:pPr algn="ctr"/>
          <a:r>
            <a:rPr lang="en-ID" sz="1100" baseline="0"/>
            <a:t>(1)        </a:t>
          </a:r>
          <a:r>
            <a:rPr lang="en-ID" sz="3200" baseline="0"/>
            <a:t>0-1</a:t>
          </a:r>
          <a:r>
            <a:rPr lang="en-ID" sz="1100" baseline="0"/>
            <a:t>       (4)</a:t>
          </a:r>
        </a:p>
        <a:p>
          <a:pPr algn="ctr"/>
          <a:endParaRPr lang="en-ID" sz="1100"/>
        </a:p>
        <a:p>
          <a:pPr algn="l"/>
          <a:r>
            <a:rPr lang="en-ID" sz="1100"/>
            <a:t>              </a:t>
          </a:r>
        </a:p>
        <a:p>
          <a:pPr algn="l"/>
          <a:r>
            <a:rPr lang="en-ID" sz="1100" baseline="0"/>
            <a:t>         </a:t>
          </a:r>
          <a:r>
            <a:rPr lang="en-ID" sz="1100"/>
            <a:t>                        </a:t>
          </a:r>
          <a:r>
            <a:rPr lang="en-ID" sz="1200" b="1"/>
            <a:t>Liverpool</a:t>
          </a:r>
          <a:r>
            <a:rPr lang="en-ID" sz="1100"/>
            <a:t>                                                                                                                          </a:t>
          </a:r>
          <a:r>
            <a:rPr lang="en-ID" sz="1100" baseline="0"/>
            <a:t>         Manchester United</a:t>
          </a:r>
          <a:endParaRPr lang="en-ID" sz="1100" b="1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endParaRPr lang="en-ID" sz="1100"/>
        </a:p>
        <a:p>
          <a:pPr algn="ctr"/>
          <a:r>
            <a:rPr lang="en-ID" sz="1100"/>
            <a:t>                                            </a:t>
          </a:r>
        </a:p>
      </xdr:txBody>
    </xdr:sp>
    <xdr:clientData/>
  </xdr:twoCellAnchor>
  <xdr:twoCellAnchor>
    <xdr:from>
      <xdr:col>3</xdr:col>
      <xdr:colOff>8141</xdr:colOff>
      <xdr:row>11</xdr:row>
      <xdr:rowOff>81410</xdr:rowOff>
    </xdr:from>
    <xdr:to>
      <xdr:col>14</xdr:col>
      <xdr:colOff>41499</xdr:colOff>
      <xdr:row>15</xdr:row>
      <xdr:rowOff>79810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009E949-3275-4195-841F-048EC249A71D}"/>
            </a:ext>
          </a:extLst>
        </xdr:cNvPr>
        <xdr:cNvSpPr/>
      </xdr:nvSpPr>
      <xdr:spPr>
        <a:xfrm>
          <a:off x="1839872" y="2149231"/>
          <a:ext cx="6749704" cy="747374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>
              <a:latin typeface="Arial" panose="020B0604020202020204" pitchFamily="34" charset="0"/>
              <a:cs typeface="Arial" panose="020B0604020202020204" pitchFamily="34" charset="0"/>
            </a:rPr>
            <a:t>EXTRA</a:t>
          </a:r>
          <a:r>
            <a:rPr lang="en-ID" sz="1200" baseline="0">
              <a:latin typeface="Arial" panose="020B0604020202020204" pitchFamily="34" charset="0"/>
              <a:cs typeface="Arial" panose="020B0604020202020204" pitchFamily="34" charset="0"/>
            </a:rPr>
            <a:t> TIME</a:t>
          </a:r>
          <a:endParaRPr lang="en-ID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236089</xdr:colOff>
      <xdr:row>0</xdr:row>
      <xdr:rowOff>162821</xdr:rowOff>
    </xdr:from>
    <xdr:to>
      <xdr:col>6</xdr:col>
      <xdr:colOff>82306</xdr:colOff>
      <xdr:row>8</xdr:row>
      <xdr:rowOff>66026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FE0C6F-358C-44BC-885E-DA46F4332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678397" y="162821"/>
          <a:ext cx="1067371" cy="1409295"/>
        </a:xfrm>
        <a:prstGeom prst="rect">
          <a:avLst/>
        </a:prstGeom>
      </xdr:spPr>
    </xdr:pic>
    <xdr:clientData/>
  </xdr:twoCellAnchor>
  <xdr:twoCellAnchor editAs="oneCell">
    <xdr:from>
      <xdr:col>11</xdr:col>
      <xdr:colOff>89548</xdr:colOff>
      <xdr:row>1</xdr:row>
      <xdr:rowOff>162819</xdr:rowOff>
    </xdr:from>
    <xdr:to>
      <xdr:col>13</xdr:col>
      <xdr:colOff>83536</xdr:colOff>
      <xdr:row>8</xdr:row>
      <xdr:rowOff>123023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8C4944-058F-49FC-AD61-A59441CEB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 rot="10800000" flipH="1" flipV="1">
          <a:off x="6805894" y="358204"/>
          <a:ext cx="1215142" cy="1270909"/>
        </a:xfrm>
        <a:prstGeom prst="rect">
          <a:avLst/>
        </a:prstGeom>
      </xdr:spPr>
    </xdr:pic>
    <xdr:clientData/>
  </xdr:twoCellAnchor>
  <xdr:twoCellAnchor>
    <xdr:from>
      <xdr:col>2</xdr:col>
      <xdr:colOff>676275</xdr:colOff>
      <xdr:row>16</xdr:row>
      <xdr:rowOff>180975</xdr:rowOff>
    </xdr:from>
    <xdr:to>
      <xdr:col>14</xdr:col>
      <xdr:colOff>38100</xdr:colOff>
      <xdr:row>33</xdr:row>
      <xdr:rowOff>104775</xdr:rowOff>
    </xdr:to>
    <xdr:graphicFrame macro="">
      <xdr:nvGraphicFramePr>
        <xdr:cNvPr id="7" name="Bagan 8">
          <a:extLst>
            <a:ext uri="{FF2B5EF4-FFF2-40B4-BE49-F238E27FC236}">
              <a16:creationId xmlns:a16="http://schemas.microsoft.com/office/drawing/2014/main" id="{EBE964C3-C235-484D-998A-0037A97EF3E9}"/>
            </a:ext>
            <a:ext uri="{147F2762-F138-4A5C-976F-8EAC2B608ADB}">
              <a16:predDERef xmlns:a16="http://schemas.microsoft.com/office/drawing/2014/main" pred="{2E8C4944-058F-49FC-AD61-A59441CEB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304800</xdr:colOff>
      <xdr:row>16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6018C2-5B7C-4E04-8730-241DD2A616C7}"/>
            </a:ext>
            <a:ext uri="{147F2762-F138-4A5C-976F-8EAC2B608ADB}">
              <a16:predDERef xmlns:a16="http://schemas.microsoft.com/office/drawing/2014/main" pred="{EBE964C3-C235-484D-998A-0037A97EF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12</xdr:row>
      <xdr:rowOff>38100</xdr:rowOff>
    </xdr:from>
    <xdr:to>
      <xdr:col>11</xdr:col>
      <xdr:colOff>1419225</xdr:colOff>
      <xdr:row>26</xdr:row>
      <xdr:rowOff>133350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7A46A845-E034-978B-07BC-43FE00A61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27</xdr:row>
      <xdr:rowOff>47625</xdr:rowOff>
    </xdr:from>
    <xdr:to>
      <xdr:col>11</xdr:col>
      <xdr:colOff>1438275</xdr:colOff>
      <xdr:row>42</xdr:row>
      <xdr:rowOff>104775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E43955E-DDAB-730A-FCFF-9CFBDD6048D0}"/>
            </a:ext>
            <a:ext uri="{147F2762-F138-4A5C-976F-8EAC2B608ADB}">
              <a16:predDERef xmlns:a16="http://schemas.microsoft.com/office/drawing/2014/main" pred="{7A46A845-E034-978B-07BC-43FE00A61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542925</xdr:colOff>
      <xdr:row>42</xdr:row>
      <xdr:rowOff>114300</xdr:rowOff>
    </xdr:from>
    <xdr:to>
      <xdr:col>11</xdr:col>
      <xdr:colOff>1447800</xdr:colOff>
      <xdr:row>58</xdr:row>
      <xdr:rowOff>76200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6142FE67-BAE1-0E89-C99E-0768441F0FA8}"/>
            </a:ext>
            <a:ext uri="{147F2762-F138-4A5C-976F-8EAC2B608ADB}">
              <a16:predDERef xmlns:a16="http://schemas.microsoft.com/office/drawing/2014/main" pred="{0E43955E-DDAB-730A-FCFF-9CFBDD604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28575</xdr:rowOff>
    </xdr:from>
    <xdr:to>
      <xdr:col>5</xdr:col>
      <xdr:colOff>295275</xdr:colOff>
      <xdr:row>54</xdr:row>
      <xdr:rowOff>0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190ABB07-DEBF-A7F9-73B5-C2A6C4DB2F9A}"/>
            </a:ext>
            <a:ext uri="{147F2762-F138-4A5C-976F-8EAC2B608ADB}">
              <a16:predDERef xmlns:a16="http://schemas.microsoft.com/office/drawing/2014/main" pred="{6142FE67-BAE1-0E89-C99E-0768441F0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F6D7C-C4BD-431E-815A-38EBE43A2DE6}" name="Table13" displayName="Table13" ref="A35:B38" totalsRowShown="0" headerRowDxfId="3" dataDxfId="2">
  <autoFilter ref="A35:B38" xr:uid="{888F6D7C-C4BD-431E-815A-38EBE43A2DE6}"/>
  <sortState xmlns:xlrd2="http://schemas.microsoft.com/office/spreadsheetml/2017/richdata2" ref="A36:B38">
    <sortCondition ref="A34:A37"/>
  </sortState>
  <tableColumns count="2">
    <tableColumn id="1" xr3:uid="{365993EE-D900-4013-BF6B-A43AA661F73D}" name="A" dataDxfId="1"/>
    <tableColumn id="2" xr3:uid="{7455763D-CC2E-4079-BDDF-9FC915A19E7F}" name="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B519-C52F-4EBB-93E4-97186EF0370B}">
  <sheetPr codeName="Sheet1"/>
  <dimension ref="A1:AL82"/>
  <sheetViews>
    <sheetView showGridLines="0" zoomScale="79" zoomScaleNormal="61" workbookViewId="0">
      <selection activeCell="G34" sqref="G34"/>
    </sheetView>
  </sheetViews>
  <sheetFormatPr defaultRowHeight="14.4"/>
  <cols>
    <col min="1" max="1" width="1.6640625" customWidth="1"/>
    <col min="2" max="2" width="11" customWidth="1"/>
    <col min="3" max="3" width="25.109375" customWidth="1"/>
    <col min="4" max="4" width="6.5546875" customWidth="1"/>
    <col min="5" max="5" width="6.6640625" customWidth="1"/>
    <col min="6" max="7" width="6.5546875" customWidth="1"/>
    <col min="8" max="8" width="6.44140625" customWidth="1"/>
    <col min="9" max="9" width="6.33203125" customWidth="1"/>
    <col min="10" max="10" width="10.109375" customWidth="1"/>
    <col min="11" max="12" width="11.109375" customWidth="1"/>
    <col min="13" max="13" width="1.109375" customWidth="1"/>
    <col min="14" max="14" width="14.44140625" customWidth="1"/>
    <col min="15" max="15" width="12.88671875" customWidth="1"/>
    <col min="16" max="16" width="14.109375" customWidth="1"/>
  </cols>
  <sheetData>
    <row r="1" spans="1:37" ht="15">
      <c r="A1" s="4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2"/>
      <c r="N1" s="42">
        <v>1</v>
      </c>
      <c r="O1" s="31" t="str">
        <f ca="1">OFFSET(C4,N1,0)</f>
        <v>Liverpool</v>
      </c>
      <c r="P1" s="31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.5" customHeight="1">
      <c r="A2" s="3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31"/>
      <c r="O2" s="31"/>
      <c r="P2" s="31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7" ht="7.5" customHeight="1">
      <c r="A3" s="3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2"/>
      <c r="N3" s="31"/>
      <c r="O3" s="31"/>
      <c r="P3" s="31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</row>
    <row r="4" spans="1:37" ht="15">
      <c r="A4" s="34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2"/>
      <c r="N4" s="53" t="s">
        <v>12</v>
      </c>
      <c r="O4" s="53"/>
      <c r="P4" s="53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</row>
    <row r="5" spans="1:37">
      <c r="A5" s="34"/>
      <c r="B5" s="5">
        <v>1</v>
      </c>
      <c r="C5" s="6" t="s">
        <v>13</v>
      </c>
      <c r="D5" s="5">
        <v>38</v>
      </c>
      <c r="E5" s="5">
        <v>32</v>
      </c>
      <c r="F5" s="5">
        <v>3</v>
      </c>
      <c r="G5" s="5">
        <v>3</v>
      </c>
      <c r="H5" s="5">
        <v>85</v>
      </c>
      <c r="I5" s="5">
        <v>33</v>
      </c>
      <c r="J5" s="7">
        <f>H5-I5</f>
        <v>52</v>
      </c>
      <c r="K5" s="7">
        <f>(E5*3)+(F5*1)</f>
        <v>99</v>
      </c>
      <c r="L5" s="7">
        <f t="shared" ref="L5:L19" si="0">_xlfn.RANK.EQ(K5,$K$5:$K$19,0)+COUNTIFS($K$5:$K$19,K5,$J$5:$J$19,"&gt;"&amp;J5)</f>
        <v>1</v>
      </c>
      <c r="M5" s="2"/>
      <c r="N5" s="1" t="s">
        <v>3</v>
      </c>
      <c r="O5" s="54" t="s">
        <v>14</v>
      </c>
      <c r="P5" s="55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spans="1:37">
      <c r="A6" s="34"/>
      <c r="B6" s="8">
        <v>2</v>
      </c>
      <c r="C6" s="9" t="s">
        <v>15</v>
      </c>
      <c r="D6" s="8">
        <v>38</v>
      </c>
      <c r="E6" s="8">
        <v>26</v>
      </c>
      <c r="F6" s="8">
        <v>3</v>
      </c>
      <c r="G6" s="8">
        <v>9</v>
      </c>
      <c r="H6" s="8">
        <v>102</v>
      </c>
      <c r="I6" s="8">
        <v>35</v>
      </c>
      <c r="J6" s="10">
        <f t="shared" ref="J6:J19" si="1">H6-I6</f>
        <v>67</v>
      </c>
      <c r="K6" s="10">
        <f t="shared" ref="K6:K19" si="2">(E6*3)+(F6*1)</f>
        <v>81</v>
      </c>
      <c r="L6" s="10">
        <f t="shared" si="0"/>
        <v>2</v>
      </c>
      <c r="M6" s="2"/>
      <c r="N6" s="1" t="s">
        <v>4</v>
      </c>
      <c r="O6" s="54" t="s">
        <v>16</v>
      </c>
      <c r="P6" s="55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1:37">
      <c r="A7" s="34"/>
      <c r="B7" s="8">
        <v>3</v>
      </c>
      <c r="C7" s="9" t="s">
        <v>17</v>
      </c>
      <c r="D7" s="8">
        <v>38</v>
      </c>
      <c r="E7" s="8">
        <v>18</v>
      </c>
      <c r="F7" s="8">
        <v>12</v>
      </c>
      <c r="G7" s="8">
        <v>8</v>
      </c>
      <c r="H7" s="8">
        <v>66</v>
      </c>
      <c r="I7" s="8">
        <v>36</v>
      </c>
      <c r="J7" s="10">
        <f t="shared" si="1"/>
        <v>30</v>
      </c>
      <c r="K7" s="10">
        <f t="shared" si="2"/>
        <v>66</v>
      </c>
      <c r="L7" s="10">
        <f t="shared" si="0"/>
        <v>3</v>
      </c>
      <c r="M7" s="2"/>
      <c r="N7" s="1" t="s">
        <v>5</v>
      </c>
      <c r="O7" s="54" t="s">
        <v>18</v>
      </c>
      <c r="P7" s="55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spans="1:37">
      <c r="A8" s="34"/>
      <c r="B8" s="8">
        <v>4</v>
      </c>
      <c r="C8" s="9" t="s">
        <v>19</v>
      </c>
      <c r="D8" s="8">
        <v>38</v>
      </c>
      <c r="E8" s="8">
        <v>20</v>
      </c>
      <c r="F8" s="8">
        <v>6</v>
      </c>
      <c r="G8" s="8">
        <v>12</v>
      </c>
      <c r="H8" s="8">
        <v>69</v>
      </c>
      <c r="I8" s="8">
        <v>54</v>
      </c>
      <c r="J8" s="10">
        <f t="shared" si="1"/>
        <v>15</v>
      </c>
      <c r="K8" s="10">
        <f t="shared" si="2"/>
        <v>66</v>
      </c>
      <c r="L8" s="10">
        <f t="shared" si="0"/>
        <v>4</v>
      </c>
      <c r="M8" s="2"/>
      <c r="N8" s="1" t="s">
        <v>6</v>
      </c>
      <c r="O8" s="54" t="s">
        <v>20</v>
      </c>
      <c r="P8" s="55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spans="1:37">
      <c r="A9" s="34"/>
      <c r="B9" s="8">
        <v>5</v>
      </c>
      <c r="C9" s="9" t="s">
        <v>21</v>
      </c>
      <c r="D9" s="8">
        <v>38</v>
      </c>
      <c r="E9" s="8">
        <v>18</v>
      </c>
      <c r="F9" s="8">
        <v>8</v>
      </c>
      <c r="G9" s="8">
        <v>12</v>
      </c>
      <c r="H9" s="8">
        <v>67</v>
      </c>
      <c r="I9" s="8">
        <v>41</v>
      </c>
      <c r="J9" s="10">
        <f t="shared" si="1"/>
        <v>26</v>
      </c>
      <c r="K9" s="10">
        <f t="shared" si="2"/>
        <v>62</v>
      </c>
      <c r="L9" s="10">
        <f t="shared" si="0"/>
        <v>5</v>
      </c>
      <c r="M9" s="2"/>
      <c r="N9" s="1" t="s">
        <v>7</v>
      </c>
      <c r="O9" s="54" t="s">
        <v>22</v>
      </c>
      <c r="P9" s="55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>
      <c r="A10" s="34"/>
      <c r="B10" s="8">
        <v>6</v>
      </c>
      <c r="C10" s="9" t="s">
        <v>23</v>
      </c>
      <c r="D10" s="8">
        <v>38</v>
      </c>
      <c r="E10" s="8">
        <v>16</v>
      </c>
      <c r="F10" s="8">
        <v>11</v>
      </c>
      <c r="G10" s="8">
        <v>11</v>
      </c>
      <c r="H10" s="8">
        <v>61</v>
      </c>
      <c r="I10" s="8">
        <v>47</v>
      </c>
      <c r="J10" s="10">
        <f t="shared" si="1"/>
        <v>14</v>
      </c>
      <c r="K10" s="10">
        <f t="shared" si="2"/>
        <v>59</v>
      </c>
      <c r="L10" s="10">
        <f t="shared" si="0"/>
        <v>6</v>
      </c>
      <c r="M10" s="2"/>
      <c r="N10" s="1" t="s">
        <v>8</v>
      </c>
      <c r="O10" s="54" t="s">
        <v>24</v>
      </c>
      <c r="P10" s="55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>
      <c r="A11" s="34"/>
      <c r="B11" s="8">
        <v>7</v>
      </c>
      <c r="C11" s="9" t="s">
        <v>25</v>
      </c>
      <c r="D11" s="8">
        <v>38</v>
      </c>
      <c r="E11" s="8">
        <v>15</v>
      </c>
      <c r="F11" s="8">
        <v>14</v>
      </c>
      <c r="G11" s="8">
        <v>9</v>
      </c>
      <c r="H11" s="8">
        <v>51</v>
      </c>
      <c r="I11" s="8">
        <v>40</v>
      </c>
      <c r="J11" s="10">
        <f t="shared" si="1"/>
        <v>11</v>
      </c>
      <c r="K11" s="10">
        <f t="shared" si="2"/>
        <v>59</v>
      </c>
      <c r="L11" s="10">
        <f t="shared" si="0"/>
        <v>7</v>
      </c>
      <c r="M11" s="2"/>
      <c r="N11" s="1" t="s">
        <v>9</v>
      </c>
      <c r="O11" s="54" t="s">
        <v>26</v>
      </c>
      <c r="P11" s="55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>
      <c r="A12" s="34"/>
      <c r="B12" s="8">
        <v>8</v>
      </c>
      <c r="C12" s="9" t="s">
        <v>27</v>
      </c>
      <c r="D12" s="8">
        <v>38</v>
      </c>
      <c r="E12" s="8">
        <v>14</v>
      </c>
      <c r="F12" s="8">
        <v>14</v>
      </c>
      <c r="G12" s="8">
        <v>10</v>
      </c>
      <c r="H12" s="8">
        <v>56</v>
      </c>
      <c r="I12" s="8">
        <v>48</v>
      </c>
      <c r="J12" s="10">
        <f t="shared" si="1"/>
        <v>8</v>
      </c>
      <c r="K12" s="10">
        <f t="shared" si="2"/>
        <v>56</v>
      </c>
      <c r="L12" s="10">
        <f t="shared" si="0"/>
        <v>8</v>
      </c>
      <c r="M12" s="31"/>
      <c r="N12" s="31"/>
      <c r="O12" s="31"/>
      <c r="P12" s="31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>
      <c r="A13" s="34"/>
      <c r="B13" s="8">
        <v>9</v>
      </c>
      <c r="C13" s="9" t="s">
        <v>28</v>
      </c>
      <c r="D13" s="8">
        <v>38</v>
      </c>
      <c r="E13" s="8">
        <v>14</v>
      </c>
      <c r="F13" s="8">
        <v>12</v>
      </c>
      <c r="G13" s="8">
        <v>12</v>
      </c>
      <c r="H13" s="8">
        <v>39</v>
      </c>
      <c r="I13" s="8">
        <v>39</v>
      </c>
      <c r="J13" s="10">
        <f t="shared" si="1"/>
        <v>0</v>
      </c>
      <c r="K13" s="10">
        <f t="shared" si="2"/>
        <v>54</v>
      </c>
      <c r="L13" s="10">
        <f t="shared" si="0"/>
        <v>9</v>
      </c>
      <c r="M13" s="31"/>
      <c r="N13" s="38" t="s">
        <v>2</v>
      </c>
      <c r="O13" s="62"/>
      <c r="P13" s="62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>
      <c r="A14" s="34"/>
      <c r="B14" s="8">
        <v>10</v>
      </c>
      <c r="C14" s="9" t="s">
        <v>29</v>
      </c>
      <c r="D14" s="8">
        <v>38</v>
      </c>
      <c r="E14" s="8">
        <v>15</v>
      </c>
      <c r="F14" s="8">
        <v>9</v>
      </c>
      <c r="G14" s="8">
        <v>14</v>
      </c>
      <c r="H14" s="8">
        <v>43</v>
      </c>
      <c r="I14" s="8">
        <v>50</v>
      </c>
      <c r="J14" s="10">
        <f t="shared" si="1"/>
        <v>-7</v>
      </c>
      <c r="K14" s="10">
        <f t="shared" si="2"/>
        <v>54</v>
      </c>
      <c r="L14" s="10">
        <f t="shared" si="0"/>
        <v>10</v>
      </c>
      <c r="M14" s="31"/>
      <c r="N14" s="31"/>
      <c r="O14" s="31"/>
      <c r="P14" s="31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1:37">
      <c r="A15" s="34"/>
      <c r="B15" s="8">
        <v>11</v>
      </c>
      <c r="C15" s="9" t="s">
        <v>30</v>
      </c>
      <c r="D15" s="8">
        <v>38</v>
      </c>
      <c r="E15" s="8">
        <v>15</v>
      </c>
      <c r="F15" s="8">
        <v>7</v>
      </c>
      <c r="G15" s="8">
        <v>16</v>
      </c>
      <c r="H15" s="8">
        <v>51</v>
      </c>
      <c r="I15" s="8">
        <v>60</v>
      </c>
      <c r="J15" s="10">
        <f t="shared" si="1"/>
        <v>-9</v>
      </c>
      <c r="K15" s="10">
        <f t="shared" si="2"/>
        <v>52</v>
      </c>
      <c r="L15" s="10">
        <f t="shared" si="0"/>
        <v>11</v>
      </c>
      <c r="M15" s="31"/>
      <c r="N15" s="31"/>
      <c r="O15" s="34"/>
      <c r="P15" s="31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>
      <c r="A16" s="34"/>
      <c r="B16" s="8">
        <v>12</v>
      </c>
      <c r="C16" s="9" t="s">
        <v>31</v>
      </c>
      <c r="D16" s="8">
        <v>38</v>
      </c>
      <c r="E16" s="8">
        <v>13</v>
      </c>
      <c r="F16" s="8">
        <v>10</v>
      </c>
      <c r="G16" s="8">
        <v>15</v>
      </c>
      <c r="H16" s="8">
        <v>44</v>
      </c>
      <c r="I16" s="8">
        <v>56</v>
      </c>
      <c r="J16" s="10">
        <f t="shared" si="1"/>
        <v>-12</v>
      </c>
      <c r="K16" s="10">
        <f t="shared" si="2"/>
        <v>49</v>
      </c>
      <c r="L16" s="10">
        <f t="shared" si="0"/>
        <v>12</v>
      </c>
      <c r="M16" s="31"/>
      <c r="N16" s="31"/>
      <c r="O16" s="31"/>
      <c r="P16" s="31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>
      <c r="A17" s="34"/>
      <c r="B17" s="8">
        <v>13</v>
      </c>
      <c r="C17" s="9" t="s">
        <v>32</v>
      </c>
      <c r="D17" s="8">
        <v>38</v>
      </c>
      <c r="E17" s="8">
        <v>11</v>
      </c>
      <c r="F17" s="8">
        <v>11</v>
      </c>
      <c r="G17" s="8">
        <v>16</v>
      </c>
      <c r="H17" s="8">
        <v>38</v>
      </c>
      <c r="I17" s="8">
        <v>58</v>
      </c>
      <c r="J17" s="10">
        <f t="shared" si="1"/>
        <v>-20</v>
      </c>
      <c r="K17" s="10">
        <f t="shared" si="2"/>
        <v>44</v>
      </c>
      <c r="L17" s="10">
        <f t="shared" si="0"/>
        <v>13</v>
      </c>
      <c r="M17" s="31"/>
      <c r="N17" s="31"/>
      <c r="O17" s="31"/>
      <c r="P17" s="31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>
      <c r="A18" s="34"/>
      <c r="B18" s="8">
        <v>14</v>
      </c>
      <c r="C18" s="9" t="s">
        <v>33</v>
      </c>
      <c r="D18" s="8">
        <v>38</v>
      </c>
      <c r="E18" s="8">
        <v>11</v>
      </c>
      <c r="F18" s="8">
        <v>10</v>
      </c>
      <c r="G18" s="8">
        <v>17</v>
      </c>
      <c r="H18" s="8">
        <v>31</v>
      </c>
      <c r="I18" s="8">
        <v>50</v>
      </c>
      <c r="J18" s="10">
        <f t="shared" si="1"/>
        <v>-19</v>
      </c>
      <c r="K18" s="10">
        <f t="shared" si="2"/>
        <v>43</v>
      </c>
      <c r="L18" s="10">
        <f t="shared" si="0"/>
        <v>14</v>
      </c>
      <c r="M18" s="31"/>
      <c r="N18" s="31"/>
      <c r="O18" s="31"/>
      <c r="P18" s="31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>
      <c r="A19" s="34"/>
      <c r="B19" s="11">
        <v>15</v>
      </c>
      <c r="C19" s="12" t="s">
        <v>34</v>
      </c>
      <c r="D19" s="11">
        <v>38</v>
      </c>
      <c r="E19" s="11">
        <v>9</v>
      </c>
      <c r="F19" s="11">
        <v>14</v>
      </c>
      <c r="G19" s="11">
        <v>15</v>
      </c>
      <c r="H19" s="11">
        <v>39</v>
      </c>
      <c r="I19" s="11">
        <v>54</v>
      </c>
      <c r="J19" s="13">
        <f t="shared" si="1"/>
        <v>-15</v>
      </c>
      <c r="K19" s="13">
        <f t="shared" si="2"/>
        <v>41</v>
      </c>
      <c r="L19" s="13">
        <f t="shared" si="0"/>
        <v>15</v>
      </c>
      <c r="M19" s="31"/>
      <c r="N19" s="31"/>
      <c r="O19" s="31"/>
      <c r="P19" s="31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14.4" customHeight="1">
      <c r="A25" s="34"/>
      <c r="B25" s="56" t="s">
        <v>35</v>
      </c>
      <c r="C25" s="57"/>
      <c r="D25" s="5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14.4" customHeight="1">
      <c r="A26" s="34"/>
      <c r="B26" s="59"/>
      <c r="C26" s="60"/>
      <c r="D26" s="61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spans="1:37" ht="28.8">
      <c r="A27" s="34"/>
      <c r="B27" s="23" t="s">
        <v>36</v>
      </c>
      <c r="C27" s="24" t="s">
        <v>37</v>
      </c>
      <c r="D27" s="25">
        <v>19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ht="28.8">
      <c r="A28" s="34"/>
      <c r="B28" s="26" t="s">
        <v>38</v>
      </c>
      <c r="C28" s="22" t="s">
        <v>13</v>
      </c>
      <c r="D28" s="27">
        <v>17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>
      <c r="A29" s="34"/>
      <c r="B29" s="30" t="s">
        <v>39</v>
      </c>
      <c r="C29" s="28" t="s">
        <v>40</v>
      </c>
      <c r="D29" s="29">
        <v>14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>
      <c r="A30" s="34"/>
      <c r="B30" s="39"/>
      <c r="C30" s="40"/>
      <c r="D30" s="40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spans="1:37" ht="14.4" customHeight="1">
      <c r="A31" s="34"/>
      <c r="B31" s="56" t="s">
        <v>41</v>
      </c>
      <c r="C31" s="57"/>
      <c r="D31" s="58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spans="1:37" ht="14.4" customHeight="1">
      <c r="A32" s="34"/>
      <c r="B32" s="59"/>
      <c r="C32" s="60"/>
      <c r="D32" s="61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spans="1:38">
      <c r="A33" s="34"/>
      <c r="B33" s="48" t="s">
        <v>42</v>
      </c>
      <c r="C33" s="63" t="s">
        <v>40</v>
      </c>
      <c r="D33" s="64">
        <v>8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 spans="1:38">
      <c r="A34" s="34"/>
      <c r="B34" s="49"/>
      <c r="C34" s="49"/>
      <c r="D34" s="65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</row>
    <row r="35" spans="1:38">
      <c r="A35" s="34"/>
      <c r="B35" s="50" t="s">
        <v>43</v>
      </c>
      <c r="C35" s="63" t="s">
        <v>37</v>
      </c>
      <c r="D35" s="64">
        <v>7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spans="1:38" ht="14.4" customHeight="1">
      <c r="A36" s="34"/>
      <c r="B36" s="51"/>
      <c r="C36" s="49"/>
      <c r="D36" s="65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</row>
    <row r="37" spans="1:38">
      <c r="A37" s="34"/>
      <c r="B37" s="48" t="s">
        <v>44</v>
      </c>
      <c r="C37" s="63" t="s">
        <v>13</v>
      </c>
      <c r="D37" s="64">
        <v>5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</row>
    <row r="38" spans="1:38" ht="14.4" customHeight="1">
      <c r="A38" s="34"/>
      <c r="B38" s="52"/>
      <c r="C38" s="52"/>
      <c r="D38" s="66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spans="1:38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</row>
    <row r="40" spans="1:38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</row>
    <row r="41" spans="1:38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</row>
    <row r="42" spans="1:38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</row>
    <row r="43" spans="1:38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</row>
    <row r="44" spans="1:38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</row>
    <row r="45" spans="1:38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</row>
    <row r="46" spans="1:38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</row>
    <row r="47" spans="1:38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</row>
    <row r="48" spans="1:3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</row>
    <row r="49" spans="1:38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</row>
    <row r="50" spans="1:38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</row>
    <row r="51" spans="1:38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</row>
    <row r="52" spans="1:38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</row>
    <row r="53" spans="1:38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</row>
    <row r="54" spans="1:38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 spans="1:38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</row>
    <row r="56" spans="1:38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</row>
    <row r="57" spans="1:38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</row>
    <row r="58" spans="1:3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</row>
    <row r="59" spans="1:38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</row>
    <row r="60" spans="1:38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</row>
    <row r="61" spans="1:38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</row>
    <row r="62" spans="1:38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</row>
    <row r="63" spans="1:38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</row>
    <row r="64" spans="1:38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</row>
    <row r="65" spans="1:38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</row>
    <row r="66" spans="1:38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</row>
    <row r="67" spans="1:38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</row>
    <row r="68" spans="1:3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</row>
    <row r="69" spans="1:38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</row>
    <row r="70" spans="1:38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</row>
    <row r="71" spans="1:38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</row>
    <row r="72" spans="1:38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</row>
    <row r="73" spans="1:38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</row>
    <row r="74" spans="1:38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</row>
    <row r="75" spans="1:38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</row>
    <row r="76" spans="1:38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</row>
    <row r="77" spans="1:38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</row>
    <row r="78" spans="1:38">
      <c r="A78" s="34"/>
    </row>
    <row r="79" spans="1:38">
      <c r="A79" s="34"/>
    </row>
    <row r="80" spans="1:38">
      <c r="A80" s="34"/>
    </row>
    <row r="81" spans="1:1">
      <c r="A81" s="34"/>
    </row>
    <row r="82" spans="1:1">
      <c r="A82" s="34"/>
    </row>
  </sheetData>
  <mergeCells count="21">
    <mergeCell ref="C35:C36"/>
    <mergeCell ref="C37:C38"/>
    <mergeCell ref="D33:D34"/>
    <mergeCell ref="D35:D36"/>
    <mergeCell ref="D37:D38"/>
    <mergeCell ref="B1:L1"/>
    <mergeCell ref="B33:B34"/>
    <mergeCell ref="B35:B36"/>
    <mergeCell ref="B37:B38"/>
    <mergeCell ref="N4:P4"/>
    <mergeCell ref="O5:P5"/>
    <mergeCell ref="O6:P6"/>
    <mergeCell ref="O7:P7"/>
    <mergeCell ref="B25:D26"/>
    <mergeCell ref="B31:D32"/>
    <mergeCell ref="O8:P8"/>
    <mergeCell ref="O9:P9"/>
    <mergeCell ref="O10:P10"/>
    <mergeCell ref="O11:P11"/>
    <mergeCell ref="O13:P13"/>
    <mergeCell ref="C33:C34"/>
  </mergeCells>
  <phoneticPr fontId="2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Drop Down 5">
              <controlPr defaultSize="0" autoLine="0" autoPict="0">
                <anchor moveWithCells="1">
                  <from>
                    <xdr:col>14</xdr:col>
                    <xdr:colOff>0</xdr:colOff>
                    <xdr:row>12</xdr:row>
                    <xdr:rowOff>7620</xdr:rowOff>
                  </from>
                  <to>
                    <xdr:col>16</xdr:col>
                    <xdr:colOff>7620</xdr:colOff>
                    <xdr:row>12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3723-9730-4CD6-9BE7-2359A644FBBA}">
  <sheetPr codeName="Sheet2"/>
  <dimension ref="C1:BJ292"/>
  <sheetViews>
    <sheetView zoomScale="92" zoomScaleNormal="70" workbookViewId="0">
      <selection activeCell="E22" sqref="E22"/>
    </sheetView>
  </sheetViews>
  <sheetFormatPr defaultColWidth="8.6640625" defaultRowHeight="13.8"/>
  <cols>
    <col min="1" max="4" width="8.6640625" style="2"/>
    <col min="5" max="5" width="8.6640625" style="2" customWidth="1"/>
    <col min="6" max="6" width="16.109375" style="2" customWidth="1"/>
    <col min="7" max="16384" width="8.6640625" style="2"/>
  </cols>
  <sheetData>
    <row r="1" spans="3:62"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</row>
    <row r="2" spans="3:62" ht="14.4" customHeight="1">
      <c r="C2" s="31"/>
      <c r="D2" s="69" t="s">
        <v>45</v>
      </c>
      <c r="E2" s="69"/>
      <c r="F2" s="69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</row>
    <row r="3" spans="3:62" ht="14.4" customHeight="1">
      <c r="C3" s="31"/>
      <c r="D3" s="69"/>
      <c r="E3" s="69"/>
      <c r="F3" s="69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</row>
    <row r="4" spans="3:62" ht="14.4" customHeight="1">
      <c r="C4" s="31"/>
      <c r="D4" s="71"/>
      <c r="E4" s="71"/>
      <c r="F4" s="7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3:62" ht="15">
      <c r="C5" s="31"/>
      <c r="D5" s="32"/>
      <c r="E5" s="32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3:62" ht="15">
      <c r="C6" s="31"/>
      <c r="D6" s="32"/>
      <c r="E6" s="32"/>
      <c r="F6" s="32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</row>
    <row r="7" spans="3:62" ht="14.4" customHeight="1">
      <c r="C7" s="31"/>
      <c r="D7" s="69" t="s">
        <v>46</v>
      </c>
      <c r="E7" s="69"/>
      <c r="F7" s="69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</row>
    <row r="8" spans="3:62" ht="14.4" customHeight="1">
      <c r="C8" s="31"/>
      <c r="D8" s="69"/>
      <c r="E8" s="69"/>
      <c r="F8" s="69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</row>
    <row r="9" spans="3:62" ht="14.4" customHeight="1">
      <c r="C9" s="31"/>
      <c r="D9" s="70"/>
      <c r="E9" s="70"/>
      <c r="F9" s="7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</row>
    <row r="10" spans="3:62" ht="15">
      <c r="C10" s="31"/>
      <c r="D10" s="32"/>
      <c r="E10" s="32"/>
      <c r="F10" s="32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</row>
    <row r="11" spans="3:62" ht="15">
      <c r="C11" s="31"/>
      <c r="D11" s="32"/>
      <c r="E11" s="32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</row>
    <row r="12" spans="3:62" ht="14.4" customHeight="1">
      <c r="C12" s="31"/>
      <c r="D12" s="69" t="s">
        <v>47</v>
      </c>
      <c r="E12" s="69"/>
      <c r="F12" s="69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</row>
    <row r="13" spans="3:62" ht="14.4" customHeight="1">
      <c r="C13" s="31"/>
      <c r="D13" s="69"/>
      <c r="E13" s="69"/>
      <c r="F13" s="69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</row>
    <row r="14" spans="3:62" ht="14.4" customHeight="1">
      <c r="C14" s="31"/>
      <c r="D14" s="67"/>
      <c r="E14" s="67"/>
      <c r="F14" s="67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</row>
    <row r="15" spans="3:62" ht="15">
      <c r="C15" s="31"/>
      <c r="D15" s="32"/>
      <c r="E15" s="32"/>
      <c r="F15" s="32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</row>
    <row r="16" spans="3:62" ht="15">
      <c r="C16" s="31"/>
      <c r="D16" s="32"/>
      <c r="E16" s="32"/>
      <c r="F16" s="32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</row>
    <row r="17" spans="3:62" ht="14.4" customHeight="1">
      <c r="C17" s="31"/>
      <c r="D17" s="69" t="s">
        <v>48</v>
      </c>
      <c r="E17" s="69"/>
      <c r="F17" s="69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</row>
    <row r="18" spans="3:62" ht="14.4" customHeight="1">
      <c r="C18" s="31"/>
      <c r="D18" s="69"/>
      <c r="E18" s="69"/>
      <c r="F18" s="69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</row>
    <row r="19" spans="3:62" ht="14.4" customHeight="1">
      <c r="C19" s="31"/>
      <c r="D19" s="68"/>
      <c r="E19" s="68"/>
      <c r="F19" s="68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</row>
    <row r="20" spans="3:62">
      <c r="C20" s="31"/>
      <c r="D20" s="31"/>
      <c r="E20" s="31"/>
      <c r="F20" s="31"/>
      <c r="G20" s="31"/>
      <c r="H20" s="31"/>
      <c r="I20" s="33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</row>
    <row r="21" spans="3:62"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</row>
    <row r="22" spans="3:62"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</row>
    <row r="23" spans="3:62"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</row>
    <row r="24" spans="3:62"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</row>
    <row r="25" spans="3:62"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</row>
    <row r="26" spans="3:62"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</row>
    <row r="27" spans="3:62"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</row>
    <row r="28" spans="3:62"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</row>
    <row r="29" spans="3:62"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</row>
    <row r="30" spans="3:62"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</row>
    <row r="31" spans="3:62"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3:62"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3:62"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3:62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3:62"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3:62"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3:62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3:62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3:62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3:62"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3:62"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3:62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3:62"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3:62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3:62"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3:62"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</row>
    <row r="47" spans="3:62"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</row>
    <row r="48" spans="3:62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</row>
    <row r="49" spans="3:62"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</row>
    <row r="50" spans="3:62"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</row>
    <row r="51" spans="3:62"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</row>
    <row r="52" spans="3:62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</row>
    <row r="53" spans="3:62"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</row>
    <row r="54" spans="3:62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</row>
    <row r="55" spans="3:62"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</row>
    <row r="56" spans="3:62"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</row>
    <row r="57" spans="3:62"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</row>
    <row r="58" spans="3:62"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</row>
    <row r="59" spans="3:62"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</row>
    <row r="60" spans="3:62"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</row>
    <row r="61" spans="3:62"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</row>
    <row r="62" spans="3:62"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</row>
    <row r="63" spans="3:62"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</row>
    <row r="64" spans="3:62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</row>
    <row r="65" spans="3:62"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</row>
    <row r="66" spans="3:62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</row>
    <row r="67" spans="3:62"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</row>
    <row r="68" spans="3:62"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</row>
    <row r="69" spans="3:62"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</row>
    <row r="70" spans="3:62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</row>
    <row r="71" spans="3:62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</row>
    <row r="72" spans="3:62"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</row>
    <row r="73" spans="3:62"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</row>
    <row r="74" spans="3:62"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</row>
    <row r="75" spans="3:62"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</row>
    <row r="76" spans="3:62"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</row>
    <row r="77" spans="3:62"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</row>
    <row r="78" spans="3:62"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</row>
    <row r="79" spans="3:62"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</row>
    <row r="80" spans="3:62"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</row>
    <row r="81" spans="3:62"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</row>
    <row r="82" spans="3:62"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</row>
    <row r="83" spans="3:62"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</row>
    <row r="84" spans="3:62"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</row>
    <row r="85" spans="3:62"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</row>
    <row r="86" spans="3:62"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</row>
    <row r="87" spans="3:62"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</row>
    <row r="88" spans="3:62"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</row>
    <row r="89" spans="3:62"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</row>
    <row r="90" spans="3:62"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</row>
    <row r="91" spans="3:62"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</row>
    <row r="92" spans="3:62"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</row>
    <row r="93" spans="3:62"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</row>
    <row r="94" spans="3:62"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</row>
    <row r="95" spans="3:62"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</row>
    <row r="96" spans="3:62"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</row>
    <row r="97" spans="3:62"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</row>
    <row r="98" spans="3:62"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</row>
    <row r="99" spans="3:62"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</row>
    <row r="100" spans="3:62"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</row>
    <row r="101" spans="3:62"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</row>
    <row r="102" spans="3:62"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</row>
    <row r="103" spans="3:62"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</row>
    <row r="104" spans="3:62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</row>
    <row r="105" spans="3:62"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</row>
    <row r="106" spans="3:62"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</row>
    <row r="107" spans="3:62"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</row>
    <row r="108" spans="3:62"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</row>
    <row r="109" spans="3:62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</row>
    <row r="110" spans="3:62"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</row>
    <row r="111" spans="3:62"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</row>
    <row r="112" spans="3:62"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</row>
    <row r="113" spans="3:62"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</row>
    <row r="114" spans="3:62"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</row>
    <row r="115" spans="3:62"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</row>
    <row r="116" spans="3:62"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</row>
    <row r="117" spans="3:62"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</row>
    <row r="118" spans="3:62"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</row>
    <row r="119" spans="3:62"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</row>
    <row r="120" spans="3:62"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</row>
    <row r="121" spans="3:62"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</row>
    <row r="122" spans="3:62"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</row>
    <row r="123" spans="3:62"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</row>
    <row r="124" spans="3:62"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</row>
    <row r="125" spans="3:62"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</row>
    <row r="126" spans="3:62"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</row>
    <row r="127" spans="3:62"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</row>
    <row r="128" spans="3:62"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</row>
    <row r="129" spans="3:62"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</row>
    <row r="130" spans="3:62"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</row>
    <row r="131" spans="3:62"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</row>
    <row r="132" spans="3:62"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</row>
    <row r="133" spans="3:62"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</row>
    <row r="134" spans="3:62"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</row>
    <row r="135" spans="3:62"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3:62"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3:62"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3:62"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3:62"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3:62"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3:62"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3:62"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3:62"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3:62"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3:62"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3:62"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3:62"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3:62"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3:62"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3:62"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3:62"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3:62"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3:62"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3:62"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3:62"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3:62"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3:62"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3:62"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3:62"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3:62"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3:62"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3:62"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3:62"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3:62"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3:62"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3:62"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3:62"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3:62"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3:62"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3:62"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3:62"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3:62"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3:62"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3:62"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3:62"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3:62"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3:62"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3:62"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3:62"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3:62"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3:62"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3:62"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3:62"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3:62"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3:62"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3:62"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3:62"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3:62"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3:62"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3:62"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3:62"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3:62"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3:62"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3:62"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3:62"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3:62"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3:62"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3:62"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3:62"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3:62"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3:62"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3:62"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3:62"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3:62"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3:62"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3:62"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3:62"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3:62"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3:62"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3:62"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3:62"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3:62"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3:62"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3:62"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3:62"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3:62"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3:62"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3:62"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3:62"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3:62"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3:62"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3:62"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3:62"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3:62"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3:62"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  <row r="226" spans="3:62"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</row>
    <row r="227" spans="3:62"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</row>
    <row r="228" spans="3:62"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</row>
    <row r="229" spans="3:62"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</row>
    <row r="230" spans="3:62"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</row>
    <row r="231" spans="3:62"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</row>
    <row r="232" spans="3:62"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</row>
    <row r="233" spans="3:62"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</row>
    <row r="234" spans="3:62"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</row>
    <row r="235" spans="3:62"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</row>
    <row r="236" spans="3:62"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</row>
    <row r="237" spans="3:62"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</row>
    <row r="238" spans="3:62"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</row>
    <row r="239" spans="3:62"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</row>
    <row r="240" spans="3:62"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</row>
    <row r="241" spans="3:62"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</row>
    <row r="242" spans="3:62"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</row>
    <row r="243" spans="3:62"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</row>
    <row r="244" spans="3:62"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</row>
    <row r="245" spans="3:62"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</row>
    <row r="246" spans="3:62"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</row>
    <row r="247" spans="3:62"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</row>
    <row r="248" spans="3:62"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</row>
    <row r="249" spans="3:62"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</row>
    <row r="250" spans="3:62"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</row>
    <row r="251" spans="3:62"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</row>
    <row r="252" spans="3:62"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</row>
    <row r="253" spans="3:62"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</row>
    <row r="254" spans="3:62"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</row>
    <row r="255" spans="3:62"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</row>
    <row r="256" spans="3:62"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</row>
    <row r="257" spans="3:62"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</row>
    <row r="258" spans="3:62"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</row>
    <row r="259" spans="3:62"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</row>
    <row r="260" spans="3:62"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</row>
    <row r="261" spans="3:62"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</row>
    <row r="262" spans="3:62"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</row>
    <row r="263" spans="3:62"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</row>
    <row r="264" spans="3:62"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</row>
    <row r="265" spans="3:62"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</row>
    <row r="266" spans="3:62"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</row>
    <row r="267" spans="3:62"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</row>
    <row r="268" spans="3:62"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</row>
    <row r="269" spans="3:62"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</row>
    <row r="270" spans="3:62"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</row>
    <row r="271" spans="3:62"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</row>
    <row r="272" spans="3:62"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</row>
    <row r="273" spans="3:62"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</row>
    <row r="274" spans="3:62"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</row>
    <row r="275" spans="3:62"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</row>
    <row r="276" spans="3:62"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</row>
    <row r="277" spans="3:62"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</row>
    <row r="278" spans="3:62"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</row>
    <row r="279" spans="3:62"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</row>
    <row r="280" spans="3:62"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</row>
    <row r="281" spans="3:62"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</row>
    <row r="282" spans="3:62"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</row>
    <row r="283" spans="3:62"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</row>
    <row r="284" spans="3:62"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</row>
    <row r="285" spans="3:62"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</row>
    <row r="286" spans="3:62"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</row>
    <row r="287" spans="3:62"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</row>
    <row r="288" spans="3:62"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</row>
    <row r="289" spans="3:62"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</row>
    <row r="290" spans="3:62"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</row>
    <row r="291" spans="3:62"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</row>
    <row r="292" spans="3:62"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</row>
  </sheetData>
  <mergeCells count="8">
    <mergeCell ref="D14:F14"/>
    <mergeCell ref="D19:F19"/>
    <mergeCell ref="D2:F3"/>
    <mergeCell ref="D7:F8"/>
    <mergeCell ref="D12:F13"/>
    <mergeCell ref="D17:F18"/>
    <mergeCell ref="D9:F9"/>
    <mergeCell ref="D4:F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D9BF-6E1C-4C9F-9D08-15F4ACB5B11A}">
  <dimension ref="C1:AJ217"/>
  <sheetViews>
    <sheetView showGridLines="0" topLeftCell="A7" zoomScale="99" workbookViewId="0"/>
  </sheetViews>
  <sheetFormatPr defaultColWidth="8.6640625" defaultRowHeight="15"/>
  <cols>
    <col min="1" max="15" width="8.6640625" style="3"/>
    <col min="16" max="16" width="11.109375" style="3" bestFit="1" customWidth="1"/>
    <col min="17" max="16384" width="8.6640625" style="3"/>
  </cols>
  <sheetData>
    <row r="1" spans="3:36"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 spans="3:36"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 spans="3:36" ht="15.6"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4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 spans="3:36" ht="15.6"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4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 spans="3:36"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3:36"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 spans="3:36" ht="15.6"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4"/>
      <c r="Q7" s="34"/>
      <c r="R7" s="34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3:36" ht="15.6"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4"/>
      <c r="Q8" s="34"/>
      <c r="R8" s="34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 spans="3:36" ht="15.6"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4"/>
      <c r="Q9" s="34"/>
      <c r="R9" s="34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3:36" ht="15.6"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4"/>
      <c r="Q10" s="34"/>
      <c r="R10" s="34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 spans="3:36" ht="15.6"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4"/>
      <c r="Q11" s="34"/>
      <c r="R11" s="34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 spans="3:36" ht="15.6"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4"/>
      <c r="Q12" s="34"/>
      <c r="R12" s="34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 spans="3:36" ht="15.6"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4"/>
      <c r="Q13" s="34"/>
      <c r="R13" s="34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 spans="3:36" ht="15.6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4"/>
      <c r="Q14" s="34"/>
      <c r="R14" s="34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 spans="3:36" ht="15.6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4"/>
      <c r="Q15" s="34"/>
      <c r="R15" s="34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 spans="3:36" ht="15.6"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4"/>
      <c r="Q16" s="34"/>
      <c r="R16" s="34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3:35" ht="15.6">
      <c r="C17" s="32"/>
      <c r="D17" s="84">
        <v>0.46</v>
      </c>
      <c r="E17" s="85"/>
      <c r="F17" s="75" t="s">
        <v>49</v>
      </c>
      <c r="G17" s="76"/>
      <c r="H17" s="76"/>
      <c r="I17" s="76"/>
      <c r="J17" s="76"/>
      <c r="K17" s="76"/>
      <c r="L17" s="77"/>
      <c r="M17" s="86">
        <v>0.54</v>
      </c>
      <c r="N17" s="87"/>
      <c r="O17" s="32"/>
      <c r="P17" s="34"/>
      <c r="Q17" s="34"/>
      <c r="R17" s="34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spans="3:35" ht="15.6">
      <c r="C18" s="32"/>
      <c r="D18" s="81"/>
      <c r="E18" s="82"/>
      <c r="F18" s="82"/>
      <c r="G18" s="82"/>
      <c r="H18" s="82"/>
      <c r="I18" s="82"/>
      <c r="J18" s="82"/>
      <c r="K18" s="82"/>
      <c r="L18" s="82"/>
      <c r="M18" s="82"/>
      <c r="N18" s="83"/>
      <c r="O18" s="32"/>
      <c r="P18" s="34"/>
      <c r="Q18" s="34"/>
      <c r="R18" s="34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</row>
    <row r="19" spans="3:35" ht="15.6">
      <c r="C19" s="32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3"/>
      <c r="O19" s="32"/>
      <c r="P19" s="34"/>
      <c r="Q19" s="34"/>
      <c r="R19" s="34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</row>
    <row r="20" spans="3:35" ht="15.6">
      <c r="C20" s="32"/>
      <c r="D20" s="43"/>
      <c r="E20" s="44"/>
      <c r="F20" s="44"/>
      <c r="G20" s="44"/>
      <c r="H20" s="44"/>
      <c r="I20" s="44"/>
      <c r="J20" s="44"/>
      <c r="K20" s="44"/>
      <c r="L20" s="44"/>
      <c r="M20" s="44"/>
      <c r="N20" s="45"/>
      <c r="O20" s="32"/>
      <c r="P20" s="34"/>
      <c r="Q20" s="34"/>
      <c r="R20" s="34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 spans="3:35" ht="15.6">
      <c r="C21" s="32"/>
      <c r="D21" s="43"/>
      <c r="E21" s="44"/>
      <c r="F21" s="44"/>
      <c r="G21" s="44"/>
      <c r="H21" s="44"/>
      <c r="I21" s="44"/>
      <c r="J21" s="44"/>
      <c r="K21" s="44"/>
      <c r="L21" s="44"/>
      <c r="M21" s="44"/>
      <c r="N21" s="45"/>
      <c r="O21" s="32"/>
      <c r="P21" s="34"/>
      <c r="Q21" s="34"/>
      <c r="R21" s="34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</row>
    <row r="22" spans="3:35" ht="15.6">
      <c r="C22" s="32"/>
      <c r="D22" s="43"/>
      <c r="E22" s="44"/>
      <c r="F22" s="44"/>
      <c r="G22" s="44"/>
      <c r="H22" s="44"/>
      <c r="I22" s="44"/>
      <c r="J22" s="44"/>
      <c r="K22" s="44"/>
      <c r="L22" s="44"/>
      <c r="M22" s="44"/>
      <c r="N22" s="45"/>
      <c r="O22" s="32"/>
      <c r="P22" s="34"/>
      <c r="Q22" s="34"/>
      <c r="R22" s="34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</row>
    <row r="23" spans="3:35" ht="15.6">
      <c r="C23" s="32"/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5"/>
      <c r="O23" s="32"/>
      <c r="P23" s="34"/>
      <c r="Q23" s="34"/>
      <c r="R23" s="34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</row>
    <row r="24" spans="3:35" ht="15.6">
      <c r="C24" s="32"/>
      <c r="D24" s="43"/>
      <c r="E24" s="44"/>
      <c r="F24" s="44"/>
      <c r="G24" s="44"/>
      <c r="H24" s="44"/>
      <c r="I24" s="44"/>
      <c r="J24" s="44"/>
      <c r="K24" s="44"/>
      <c r="L24" s="44"/>
      <c r="M24" s="44"/>
      <c r="N24" s="45"/>
      <c r="O24" s="32"/>
      <c r="P24" s="34"/>
      <c r="Q24" s="34"/>
      <c r="R24" s="34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</row>
    <row r="25" spans="3:35">
      <c r="C25" s="32"/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5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</row>
    <row r="26" spans="3:35">
      <c r="C26" s="32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5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spans="3:35">
      <c r="C27" s="32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5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</row>
    <row r="28" spans="3:35">
      <c r="C28" s="32"/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5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</row>
    <row r="29" spans="3:35">
      <c r="C29" s="32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5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</row>
    <row r="30" spans="3:35">
      <c r="C30" s="32"/>
      <c r="D30" s="43"/>
      <c r="E30" s="44"/>
      <c r="F30" s="44"/>
      <c r="G30" s="44"/>
      <c r="H30" s="44"/>
      <c r="I30" s="44"/>
      <c r="J30" s="44"/>
      <c r="K30" s="44"/>
      <c r="L30" s="44"/>
      <c r="M30" s="44"/>
      <c r="N30" s="45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 spans="3:35">
      <c r="C31" s="32"/>
      <c r="D31" s="43"/>
      <c r="E31" s="44"/>
      <c r="F31" s="44"/>
      <c r="G31" s="44"/>
      <c r="H31" s="44"/>
      <c r="I31" s="44"/>
      <c r="J31" s="44"/>
      <c r="K31" s="44"/>
      <c r="L31" s="44"/>
      <c r="M31" s="44"/>
      <c r="N31" s="45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 spans="3:35">
      <c r="C32" s="32"/>
      <c r="D32" s="43"/>
      <c r="E32" s="44"/>
      <c r="F32" s="44"/>
      <c r="G32" s="44"/>
      <c r="H32" s="44"/>
      <c r="I32" s="44"/>
      <c r="J32" s="44"/>
      <c r="K32" s="44"/>
      <c r="L32" s="44"/>
      <c r="M32" s="44"/>
      <c r="N32" s="45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 spans="3:35">
      <c r="C33" s="32"/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</row>
    <row r="34" spans="3:35">
      <c r="C34" s="32"/>
      <c r="D34" s="88">
        <v>19</v>
      </c>
      <c r="E34" s="89"/>
      <c r="F34" s="75" t="s">
        <v>50</v>
      </c>
      <c r="G34" s="76"/>
      <c r="H34" s="76"/>
      <c r="I34" s="76"/>
      <c r="J34" s="76"/>
      <c r="K34" s="76"/>
      <c r="L34" s="77"/>
      <c r="M34" s="90">
        <v>21</v>
      </c>
      <c r="N34" s="91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</row>
    <row r="35" spans="3:35">
      <c r="C35" s="32"/>
      <c r="D35" s="88">
        <v>10</v>
      </c>
      <c r="E35" s="89"/>
      <c r="F35" s="75" t="s">
        <v>51</v>
      </c>
      <c r="G35" s="76"/>
      <c r="H35" s="76"/>
      <c r="I35" s="76"/>
      <c r="J35" s="76"/>
      <c r="K35" s="76"/>
      <c r="L35" s="77"/>
      <c r="M35" s="90">
        <v>5</v>
      </c>
      <c r="N35" s="91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 spans="3:35">
      <c r="C36" s="32"/>
      <c r="D36" s="88">
        <v>3</v>
      </c>
      <c r="E36" s="89"/>
      <c r="F36" s="75" t="s">
        <v>52</v>
      </c>
      <c r="G36" s="76"/>
      <c r="H36" s="76"/>
      <c r="I36" s="76"/>
      <c r="J36" s="76"/>
      <c r="K36" s="76"/>
      <c r="L36" s="77"/>
      <c r="M36" s="90">
        <v>8</v>
      </c>
      <c r="N36" s="91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 spans="3:35">
      <c r="C37" s="32"/>
      <c r="D37" s="88">
        <v>6</v>
      </c>
      <c r="E37" s="89"/>
      <c r="F37" s="75" t="s">
        <v>53</v>
      </c>
      <c r="G37" s="76"/>
      <c r="H37" s="76"/>
      <c r="I37" s="76"/>
      <c r="J37" s="76"/>
      <c r="K37" s="76"/>
      <c r="L37" s="77"/>
      <c r="M37" s="90">
        <v>8</v>
      </c>
      <c r="N37" s="91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 spans="3:35">
      <c r="C38" s="32"/>
      <c r="D38" s="88">
        <v>0</v>
      </c>
      <c r="E38" s="89"/>
      <c r="F38" s="75" t="s">
        <v>54</v>
      </c>
      <c r="G38" s="76"/>
      <c r="H38" s="76"/>
      <c r="I38" s="76"/>
      <c r="J38" s="76"/>
      <c r="K38" s="76"/>
      <c r="L38" s="77"/>
      <c r="M38" s="90">
        <v>0</v>
      </c>
      <c r="N38" s="91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</row>
    <row r="39" spans="3:35">
      <c r="C39" s="32"/>
      <c r="D39" s="100">
        <v>12</v>
      </c>
      <c r="E39" s="101"/>
      <c r="F39" s="72" t="s">
        <v>55</v>
      </c>
      <c r="G39" s="73"/>
      <c r="H39" s="73"/>
      <c r="I39" s="73"/>
      <c r="J39" s="73"/>
      <c r="K39" s="73"/>
      <c r="L39" s="74"/>
      <c r="M39" s="96">
        <v>6</v>
      </c>
      <c r="N39" s="97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 spans="3:35">
      <c r="C40" s="32"/>
      <c r="D40" s="102"/>
      <c r="E40" s="103"/>
      <c r="F40" s="78"/>
      <c r="G40" s="79"/>
      <c r="H40" s="79"/>
      <c r="I40" s="79"/>
      <c r="J40" s="79"/>
      <c r="K40" s="79"/>
      <c r="L40" s="80"/>
      <c r="M40" s="98"/>
      <c r="N40" s="99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spans="3:35">
      <c r="C41" s="32"/>
      <c r="D41" s="88">
        <v>3</v>
      </c>
      <c r="E41" s="89"/>
      <c r="F41" s="75" t="s">
        <v>56</v>
      </c>
      <c r="G41" s="76"/>
      <c r="H41" s="76"/>
      <c r="I41" s="76"/>
      <c r="J41" s="76"/>
      <c r="K41" s="76"/>
      <c r="L41" s="77"/>
      <c r="M41" s="90">
        <v>3</v>
      </c>
      <c r="N41" s="91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</row>
    <row r="42" spans="3:35">
      <c r="C42" s="32"/>
      <c r="D42" s="88">
        <v>14</v>
      </c>
      <c r="E42" s="89"/>
      <c r="F42" s="75" t="s">
        <v>57</v>
      </c>
      <c r="G42" s="76"/>
      <c r="H42" s="76"/>
      <c r="I42" s="76"/>
      <c r="J42" s="76"/>
      <c r="K42" s="76"/>
      <c r="L42" s="77"/>
      <c r="M42" s="90">
        <v>6</v>
      </c>
      <c r="N42" s="91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</row>
    <row r="43" spans="3:35">
      <c r="C43" s="32"/>
      <c r="D43" s="88">
        <v>1</v>
      </c>
      <c r="E43" s="92"/>
      <c r="F43" s="72" t="s">
        <v>58</v>
      </c>
      <c r="G43" s="73"/>
      <c r="H43" s="73"/>
      <c r="I43" s="73"/>
      <c r="J43" s="73"/>
      <c r="K43" s="73"/>
      <c r="L43" s="74"/>
      <c r="M43" s="92">
        <v>1</v>
      </c>
      <c r="N43" s="91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spans="3:35">
      <c r="C44" s="32"/>
      <c r="D44" s="88">
        <v>0</v>
      </c>
      <c r="E44" s="92"/>
      <c r="F44" s="72" t="s">
        <v>59</v>
      </c>
      <c r="G44" s="73"/>
      <c r="H44" s="73"/>
      <c r="I44" s="73"/>
      <c r="J44" s="73"/>
      <c r="K44" s="73"/>
      <c r="L44" s="74"/>
      <c r="M44" s="92">
        <v>0</v>
      </c>
      <c r="N44" s="91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 spans="3:35">
      <c r="C45" s="32"/>
      <c r="D45" s="100">
        <v>536</v>
      </c>
      <c r="E45" s="104"/>
      <c r="F45" s="72" t="s">
        <v>60</v>
      </c>
      <c r="G45" s="73"/>
      <c r="H45" s="73"/>
      <c r="I45" s="73"/>
      <c r="J45" s="73"/>
      <c r="K45" s="73"/>
      <c r="L45" s="74"/>
      <c r="M45" s="104">
        <v>675</v>
      </c>
      <c r="N45" s="97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</row>
    <row r="46" spans="3:35">
      <c r="C46" s="32"/>
      <c r="D46" s="102"/>
      <c r="E46" s="105"/>
      <c r="F46" s="93"/>
      <c r="G46" s="94"/>
      <c r="H46" s="94"/>
      <c r="I46" s="94"/>
      <c r="J46" s="94"/>
      <c r="K46" s="94"/>
      <c r="L46" s="95"/>
      <c r="M46" s="105"/>
      <c r="N46" s="99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 spans="3:35">
      <c r="C47" s="32"/>
      <c r="D47" s="88">
        <v>13</v>
      </c>
      <c r="E47" s="92"/>
      <c r="F47" s="72" t="s">
        <v>61</v>
      </c>
      <c r="G47" s="73"/>
      <c r="H47" s="73"/>
      <c r="I47" s="73"/>
      <c r="J47" s="73"/>
      <c r="K47" s="73"/>
      <c r="L47" s="74"/>
      <c r="M47" s="92">
        <v>16</v>
      </c>
      <c r="N47" s="91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 spans="3:35">
      <c r="C48" s="32"/>
      <c r="D48" s="88" t="s">
        <v>62</v>
      </c>
      <c r="E48" s="92"/>
      <c r="F48" s="72" t="s">
        <v>63</v>
      </c>
      <c r="G48" s="73"/>
      <c r="H48" s="73"/>
      <c r="I48" s="73"/>
      <c r="J48" s="73"/>
      <c r="K48" s="73"/>
      <c r="L48" s="74"/>
      <c r="M48" s="92" t="s">
        <v>64</v>
      </c>
      <c r="N48" s="91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</row>
    <row r="49" spans="3:35">
      <c r="C49" s="32"/>
      <c r="D49" s="88" t="s">
        <v>65</v>
      </c>
      <c r="E49" s="92"/>
      <c r="F49" s="72" t="s">
        <v>66</v>
      </c>
      <c r="G49" s="73"/>
      <c r="H49" s="73"/>
      <c r="I49" s="73"/>
      <c r="J49" s="73"/>
      <c r="K49" s="73"/>
      <c r="L49" s="74"/>
      <c r="M49" s="92" t="s">
        <v>67</v>
      </c>
      <c r="N49" s="91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spans="3:35">
      <c r="C50" s="32"/>
      <c r="D50" s="88" t="s">
        <v>68</v>
      </c>
      <c r="E50" s="92"/>
      <c r="F50" s="72" t="s">
        <v>69</v>
      </c>
      <c r="G50" s="73"/>
      <c r="H50" s="73"/>
      <c r="I50" s="73"/>
      <c r="J50" s="73"/>
      <c r="K50" s="73"/>
      <c r="L50" s="74"/>
      <c r="M50" s="92" t="s">
        <v>70</v>
      </c>
      <c r="N50" s="91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 spans="3:35">
      <c r="C51" s="32"/>
      <c r="D51" s="88">
        <v>20</v>
      </c>
      <c r="E51" s="92"/>
      <c r="F51" s="72" t="s">
        <v>71</v>
      </c>
      <c r="G51" s="73"/>
      <c r="H51" s="73"/>
      <c r="I51" s="73"/>
      <c r="J51" s="73"/>
      <c r="K51" s="73"/>
      <c r="L51" s="74"/>
      <c r="M51" s="92">
        <v>33</v>
      </c>
      <c r="N51" s="91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</row>
    <row r="52" spans="3:35">
      <c r="C52" s="32"/>
      <c r="D52" s="88">
        <v>12</v>
      </c>
      <c r="E52" s="92"/>
      <c r="F52" s="72" t="s">
        <v>72</v>
      </c>
      <c r="G52" s="73"/>
      <c r="H52" s="73"/>
      <c r="I52" s="73"/>
      <c r="J52" s="73"/>
      <c r="K52" s="73"/>
      <c r="L52" s="74"/>
      <c r="M52" s="92">
        <v>14</v>
      </c>
      <c r="N52" s="91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 spans="3:35">
      <c r="C53" s="32"/>
      <c r="D53" s="88">
        <v>12</v>
      </c>
      <c r="E53" s="92"/>
      <c r="F53" s="72" t="s">
        <v>73</v>
      </c>
      <c r="G53" s="73"/>
      <c r="H53" s="73"/>
      <c r="I53" s="73"/>
      <c r="J53" s="73"/>
      <c r="K53" s="73"/>
      <c r="L53" s="74"/>
      <c r="M53" s="92">
        <v>55</v>
      </c>
      <c r="N53" s="91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 spans="3:35">
      <c r="C54" s="32"/>
      <c r="D54" s="88">
        <v>7</v>
      </c>
      <c r="E54" s="92"/>
      <c r="F54" s="75" t="s">
        <v>74</v>
      </c>
      <c r="G54" s="76"/>
      <c r="H54" s="76"/>
      <c r="I54" s="76"/>
      <c r="J54" s="76"/>
      <c r="K54" s="76"/>
      <c r="L54" s="77"/>
      <c r="M54" s="92">
        <v>2</v>
      </c>
      <c r="N54" s="91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spans="3:35"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spans="3:35"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 spans="3:35"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 spans="3:35"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 spans="3:35"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 spans="3:35"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</row>
    <row r="61" spans="3:35"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 spans="3:35"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 spans="3:35"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</row>
    <row r="64" spans="3:35"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spans="3:35"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</row>
    <row r="66" spans="3:35"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</row>
    <row r="67" spans="3:35"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</row>
    <row r="68" spans="3:35"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</row>
    <row r="69" spans="3:35"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</row>
    <row r="70" spans="3:35"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spans="3:35"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</row>
    <row r="72" spans="3:35"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 spans="3:35"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</row>
    <row r="74" spans="3:35"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 spans="3:35"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 spans="3:35"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 spans="3:35"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</row>
    <row r="78" spans="3:35"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 spans="3:35"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</row>
    <row r="80" spans="3:35"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</row>
    <row r="81" spans="3:35"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</row>
    <row r="82" spans="3:35"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</row>
    <row r="83" spans="3:35"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</row>
    <row r="84" spans="3:35"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</row>
    <row r="85" spans="3:35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</row>
    <row r="86" spans="3:35"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</row>
    <row r="87" spans="3:35"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</row>
    <row r="88" spans="3:35"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</row>
    <row r="89" spans="3:35"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</row>
    <row r="90" spans="3:35"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</row>
    <row r="91" spans="3:35"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</row>
    <row r="92" spans="3:35"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</row>
    <row r="93" spans="3:35"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</row>
    <row r="94" spans="3:35"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</row>
    <row r="95" spans="3:35"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</row>
    <row r="96" spans="3:35"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</row>
    <row r="97" spans="3:35"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</row>
    <row r="98" spans="3:35"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</row>
    <row r="99" spans="3:35"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</row>
    <row r="100" spans="3:35"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</row>
    <row r="101" spans="3:35"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</row>
    <row r="102" spans="3:35"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</row>
    <row r="103" spans="3:35"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</row>
    <row r="104" spans="3:35"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</row>
    <row r="105" spans="3:35"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</row>
    <row r="106" spans="3:35"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</row>
    <row r="107" spans="3:35"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</row>
    <row r="108" spans="3:35"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</row>
    <row r="109" spans="3:35"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</row>
    <row r="110" spans="3:35"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</row>
    <row r="111" spans="3:35"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</row>
    <row r="112" spans="3:35"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</row>
    <row r="113" spans="3:35"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</row>
    <row r="114" spans="3:35"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</row>
    <row r="115" spans="3:35"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</row>
    <row r="116" spans="3:35"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</row>
    <row r="117" spans="3:35"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</row>
    <row r="118" spans="3:35"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</row>
    <row r="119" spans="3:35"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</row>
    <row r="120" spans="3:35"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</row>
    <row r="121" spans="3:35"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</row>
    <row r="122" spans="3:35"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</row>
    <row r="123" spans="3:35"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</row>
    <row r="124" spans="3:35"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</row>
    <row r="125" spans="3:35"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</row>
    <row r="126" spans="3:35"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</row>
    <row r="127" spans="3:35"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</row>
    <row r="128" spans="3:35"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</row>
    <row r="129" spans="3:35"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</row>
    <row r="130" spans="3:35"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</row>
    <row r="131" spans="3:35"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</row>
    <row r="132" spans="3:35"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</row>
    <row r="133" spans="3:35"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</row>
    <row r="134" spans="3:35"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</row>
    <row r="135" spans="3:35"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</row>
    <row r="136" spans="3:35"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</row>
    <row r="137" spans="3:35"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</row>
    <row r="138" spans="3:35"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</row>
    <row r="139" spans="3:35"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</row>
    <row r="140" spans="3:35"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</row>
    <row r="141" spans="3:35"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</row>
    <row r="142" spans="3:35"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</row>
    <row r="143" spans="3:35"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</row>
    <row r="144" spans="3:35"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</row>
    <row r="145" spans="3:35"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</row>
    <row r="146" spans="3:35"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</row>
    <row r="147" spans="3:35"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</row>
    <row r="148" spans="3:35"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</row>
    <row r="149" spans="3:35"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</row>
    <row r="150" spans="3:35"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</row>
    <row r="151" spans="3:35"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</row>
    <row r="152" spans="3:35"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</row>
    <row r="153" spans="3:35"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</row>
    <row r="154" spans="3:35"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</row>
    <row r="155" spans="3:35"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</row>
    <row r="156" spans="3:35"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</row>
    <row r="157" spans="3:35"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</row>
    <row r="158" spans="3:35"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</row>
    <row r="159" spans="3:35"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</row>
    <row r="160" spans="3:35"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</row>
    <row r="161" spans="4:35"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</row>
    <row r="162" spans="4:35"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</row>
    <row r="163" spans="4:35"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</row>
    <row r="164" spans="4:35"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</row>
    <row r="165" spans="4:35"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</row>
    <row r="166" spans="4:35"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</row>
    <row r="167" spans="4:35"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</row>
    <row r="168" spans="4:35"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</row>
    <row r="169" spans="4:35"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</row>
    <row r="170" spans="4:35"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</row>
    <row r="171" spans="4:35"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</row>
    <row r="172" spans="4:35"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</row>
    <row r="173" spans="4:35"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</row>
    <row r="174" spans="4:35"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</row>
    <row r="175" spans="4:35"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</row>
    <row r="176" spans="4:35"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</row>
    <row r="177" spans="4:35"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</row>
    <row r="178" spans="4:35"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</row>
    <row r="179" spans="4:35"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</row>
    <row r="180" spans="4:35"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</row>
    <row r="181" spans="4:35"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</row>
    <row r="182" spans="4:35"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</row>
    <row r="183" spans="4:35"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</row>
    <row r="184" spans="4:35"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</row>
    <row r="185" spans="4:35"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</row>
    <row r="186" spans="4:35"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</row>
    <row r="187" spans="4:35"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</row>
    <row r="188" spans="4:35"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</row>
    <row r="189" spans="4:35"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</row>
    <row r="190" spans="4:35"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</row>
    <row r="191" spans="4:35"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</row>
    <row r="192" spans="4:35"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</row>
    <row r="193" spans="4:35"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</row>
    <row r="194" spans="4:35"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</row>
    <row r="195" spans="4:35"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</row>
    <row r="196" spans="4:35"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</row>
    <row r="197" spans="4:35"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</row>
    <row r="198" spans="4:35"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</row>
    <row r="199" spans="4:35"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</row>
    <row r="200" spans="4:35"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</row>
    <row r="201" spans="4:35"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</row>
    <row r="202" spans="4:35"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</row>
    <row r="203" spans="4:35"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</row>
    <row r="204" spans="4:35"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</row>
    <row r="205" spans="4:35"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</row>
    <row r="206" spans="4:35"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</row>
    <row r="207" spans="4:35"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</row>
    <row r="208" spans="4:35"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</row>
    <row r="209" spans="4:35"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</row>
    <row r="210" spans="4:35"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</row>
    <row r="211" spans="4:35"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</row>
    <row r="212" spans="4:35"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</row>
    <row r="213" spans="4:35"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</row>
    <row r="214" spans="4:35"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</row>
    <row r="215" spans="4:35"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</row>
    <row r="216" spans="4:35"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</row>
    <row r="217" spans="4:35"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</row>
  </sheetData>
  <mergeCells count="61">
    <mergeCell ref="M34:N34"/>
    <mergeCell ref="M54:N54"/>
    <mergeCell ref="M39:N40"/>
    <mergeCell ref="D39:E40"/>
    <mergeCell ref="D45:E46"/>
    <mergeCell ref="M45:N46"/>
    <mergeCell ref="M48:N48"/>
    <mergeCell ref="M49:N49"/>
    <mergeCell ref="M50:N50"/>
    <mergeCell ref="M51:N51"/>
    <mergeCell ref="M52:N52"/>
    <mergeCell ref="M53:N53"/>
    <mergeCell ref="M42:N42"/>
    <mergeCell ref="M43:N43"/>
    <mergeCell ref="M44:N44"/>
    <mergeCell ref="M47:N47"/>
    <mergeCell ref="D50:E50"/>
    <mergeCell ref="D51:E51"/>
    <mergeCell ref="D52:E52"/>
    <mergeCell ref="D53:E53"/>
    <mergeCell ref="D54:E54"/>
    <mergeCell ref="M37:N37"/>
    <mergeCell ref="M38:N38"/>
    <mergeCell ref="M41:N41"/>
    <mergeCell ref="D44:E44"/>
    <mergeCell ref="D47:E47"/>
    <mergeCell ref="F41:L41"/>
    <mergeCell ref="F42:L42"/>
    <mergeCell ref="F43:L43"/>
    <mergeCell ref="F44:L44"/>
    <mergeCell ref="F45:L46"/>
    <mergeCell ref="F47:L47"/>
    <mergeCell ref="D48:E48"/>
    <mergeCell ref="D49:E49"/>
    <mergeCell ref="D38:E38"/>
    <mergeCell ref="D41:E41"/>
    <mergeCell ref="D42:E42"/>
    <mergeCell ref="D43:E43"/>
    <mergeCell ref="F17:L17"/>
    <mergeCell ref="F37:L37"/>
    <mergeCell ref="F38:L38"/>
    <mergeCell ref="F39:L40"/>
    <mergeCell ref="D18:N19"/>
    <mergeCell ref="D17:E17"/>
    <mergeCell ref="M17:N17"/>
    <mergeCell ref="D37:E37"/>
    <mergeCell ref="M35:N35"/>
    <mergeCell ref="M36:N36"/>
    <mergeCell ref="D34:E34"/>
    <mergeCell ref="D35:E35"/>
    <mergeCell ref="D36:E36"/>
    <mergeCell ref="F34:L34"/>
    <mergeCell ref="F35:L35"/>
    <mergeCell ref="F36:L36"/>
    <mergeCell ref="F48:L48"/>
    <mergeCell ref="F49:L49"/>
    <mergeCell ref="F50:L50"/>
    <mergeCell ref="F53:L53"/>
    <mergeCell ref="F54:L54"/>
    <mergeCell ref="F51:L51"/>
    <mergeCell ref="F52:L52"/>
  </mergeCells>
  <pageMargins left="0.7" right="0.7" top="0.75" bottom="0.75" header="0.3" footer="0.3"/>
  <pageSetup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B206-C2F2-44F7-888F-DD7C4C6FDB5F}">
  <sheetPr codeName="Sheet3"/>
  <dimension ref="A1:AV273"/>
  <sheetViews>
    <sheetView showGridLines="0" topLeftCell="A16" zoomScale="110" workbookViewId="0">
      <selection activeCell="B24" sqref="B24"/>
    </sheetView>
  </sheetViews>
  <sheetFormatPr defaultColWidth="8.6640625" defaultRowHeight="15"/>
  <cols>
    <col min="1" max="1" width="23.109375" style="3" customWidth="1"/>
    <col min="2" max="9" width="10.44140625" style="3" customWidth="1"/>
    <col min="10" max="16384" width="8.6640625" style="3"/>
  </cols>
  <sheetData>
    <row r="1" spans="1:48">
      <c r="A1" s="46"/>
      <c r="B1" s="36"/>
      <c r="C1" s="36"/>
      <c r="D1" s="36"/>
      <c r="E1" s="46"/>
      <c r="F1" s="46"/>
      <c r="G1" s="106"/>
      <c r="H1" s="106"/>
      <c r="I1" s="106"/>
      <c r="J1" s="46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>
      <c r="A2" s="46"/>
      <c r="B2" s="36"/>
      <c r="C2" s="36"/>
      <c r="D2" s="36"/>
      <c r="E2" s="46"/>
      <c r="F2" s="46"/>
      <c r="G2" s="106"/>
      <c r="H2" s="106"/>
      <c r="I2" s="106"/>
      <c r="J2" s="46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>
      <c r="A3" s="46"/>
      <c r="B3" s="36"/>
      <c r="C3" s="36"/>
      <c r="D3" s="36"/>
      <c r="E3" s="46"/>
      <c r="F3" s="46"/>
      <c r="G3" s="106"/>
      <c r="H3" s="106"/>
      <c r="I3" s="106"/>
      <c r="J3" s="46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>
      <c r="A4" s="46"/>
      <c r="B4" s="36"/>
      <c r="C4" s="36"/>
      <c r="D4" s="36"/>
      <c r="E4" s="46"/>
      <c r="F4" s="46"/>
      <c r="G4" s="106"/>
      <c r="H4" s="106"/>
      <c r="I4" s="106"/>
      <c r="J4" s="46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>
      <c r="A5" s="46"/>
      <c r="B5" s="36"/>
      <c r="C5" s="36"/>
      <c r="D5" s="36"/>
      <c r="E5" s="46"/>
      <c r="F5" s="46"/>
      <c r="G5" s="106"/>
      <c r="H5" s="106"/>
      <c r="I5" s="106"/>
      <c r="J5" s="46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</row>
    <row r="6" spans="1:48">
      <c r="A6" s="46"/>
      <c r="B6" s="36"/>
      <c r="C6" s="36"/>
      <c r="D6" s="36"/>
      <c r="E6" s="46"/>
      <c r="F6" s="46"/>
      <c r="G6" s="106"/>
      <c r="H6" s="106"/>
      <c r="I6" s="106"/>
      <c r="J6" s="46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</row>
    <row r="7" spans="1:48">
      <c r="A7" s="46"/>
      <c r="B7" s="36"/>
      <c r="C7" s="36"/>
      <c r="D7" s="36"/>
      <c r="E7" s="46"/>
      <c r="F7" s="46"/>
      <c r="G7" s="106"/>
      <c r="H7" s="106"/>
      <c r="I7" s="106"/>
      <c r="J7" s="46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spans="1:48">
      <c r="A8" s="46"/>
      <c r="B8" s="36"/>
      <c r="C8" s="36"/>
      <c r="D8" s="36"/>
      <c r="E8" s="46"/>
      <c r="F8" s="46"/>
      <c r="G8" s="106"/>
      <c r="H8" s="106"/>
      <c r="I8" s="106"/>
      <c r="J8" s="46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spans="1:48">
      <c r="A9" s="46"/>
      <c r="B9" s="36"/>
      <c r="C9" s="36"/>
      <c r="D9" s="36"/>
      <c r="E9" s="46"/>
      <c r="F9" s="46"/>
      <c r="G9" s="106"/>
      <c r="H9" s="106"/>
      <c r="I9" s="106"/>
      <c r="J9" s="46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spans="1:48">
      <c r="A10" s="46"/>
      <c r="B10" s="36"/>
      <c r="C10" s="36"/>
      <c r="D10" s="36"/>
      <c r="E10" s="46"/>
      <c r="F10" s="46"/>
      <c r="G10" s="106"/>
      <c r="H10" s="106"/>
      <c r="I10" s="106"/>
      <c r="J10" s="46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</row>
    <row r="11" spans="1:48">
      <c r="A11" s="46"/>
      <c r="B11" s="36"/>
      <c r="C11" s="36"/>
      <c r="D11" s="36"/>
      <c r="E11" s="46"/>
      <c r="F11" s="46"/>
      <c r="G11" s="106"/>
      <c r="H11" s="106"/>
      <c r="I11" s="106"/>
      <c r="J11" s="46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spans="1:48">
      <c r="A12" s="46"/>
      <c r="B12" s="36"/>
      <c r="C12" s="36"/>
      <c r="D12" s="36"/>
      <c r="E12" s="46"/>
      <c r="F12" s="46"/>
      <c r="G12" s="106"/>
      <c r="H12" s="106"/>
      <c r="I12" s="106"/>
      <c r="J12" s="46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spans="1:48">
      <c r="A13" s="46"/>
      <c r="B13" s="36"/>
      <c r="C13" s="36"/>
      <c r="D13" s="36"/>
      <c r="E13" s="46"/>
      <c r="F13" s="46"/>
      <c r="G13" s="106"/>
      <c r="H13" s="106"/>
      <c r="I13" s="106"/>
      <c r="J13" s="46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spans="1:48">
      <c r="A14" s="46"/>
      <c r="B14" s="36"/>
      <c r="C14" s="36"/>
      <c r="D14" s="36"/>
      <c r="E14" s="46"/>
      <c r="F14" s="46"/>
      <c r="G14" s="106"/>
      <c r="H14" s="106"/>
      <c r="I14" s="106"/>
      <c r="J14" s="46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spans="1:48">
      <c r="A15" s="46"/>
      <c r="B15" s="46"/>
      <c r="C15" s="46"/>
      <c r="D15" s="46"/>
      <c r="E15" s="32"/>
      <c r="F15" s="32"/>
      <c r="G15" s="35"/>
      <c r="H15" s="35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spans="1:48">
      <c r="A16" s="46"/>
      <c r="B16" s="46"/>
      <c r="C16" s="46"/>
      <c r="D16" s="46"/>
      <c r="E16" s="32"/>
      <c r="F16" s="32"/>
      <c r="G16" s="35"/>
      <c r="H16" s="35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spans="1:45">
      <c r="A17" s="46"/>
      <c r="B17" s="46"/>
      <c r="C17" s="84">
        <v>0.53</v>
      </c>
      <c r="D17" s="85"/>
      <c r="E17" s="75" t="s">
        <v>49</v>
      </c>
      <c r="F17" s="76"/>
      <c r="G17" s="76"/>
      <c r="H17" s="76"/>
      <c r="I17" s="76"/>
      <c r="J17" s="76"/>
      <c r="K17" s="77"/>
      <c r="L17" s="86">
        <v>0.47</v>
      </c>
      <c r="M17" s="87"/>
      <c r="N17" s="37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</row>
    <row r="18" spans="1:45">
      <c r="A18" s="46"/>
      <c r="B18" s="46"/>
      <c r="C18" s="18"/>
      <c r="D18" s="15"/>
      <c r="E18" s="16"/>
      <c r="F18" s="16"/>
      <c r="G18" s="16"/>
      <c r="H18" s="16"/>
      <c r="I18" s="16"/>
      <c r="J18" s="16"/>
      <c r="K18" s="16"/>
      <c r="L18" s="15"/>
      <c r="M18" s="17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</row>
    <row r="19" spans="1:45">
      <c r="A19" s="46"/>
      <c r="B19" s="46"/>
      <c r="C19" s="19"/>
      <c r="D19" s="15"/>
      <c r="E19" s="16"/>
      <c r="F19" s="16"/>
      <c r="G19" s="16"/>
      <c r="H19" s="16"/>
      <c r="I19" s="16"/>
      <c r="J19" s="16"/>
      <c r="K19" s="16"/>
      <c r="L19" s="15"/>
      <c r="M19" s="17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</row>
    <row r="20" spans="1:45">
      <c r="A20" s="32"/>
      <c r="B20" s="32"/>
      <c r="C20" s="81"/>
      <c r="D20" s="82"/>
      <c r="E20" s="82"/>
      <c r="F20" s="82"/>
      <c r="G20" s="82"/>
      <c r="H20" s="82"/>
      <c r="I20" s="82"/>
      <c r="J20" s="82"/>
      <c r="K20" s="82"/>
      <c r="L20" s="82"/>
      <c r="M20" s="83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</row>
    <row r="21" spans="1:45">
      <c r="A21" s="32"/>
      <c r="B21" s="32"/>
      <c r="C21" s="81"/>
      <c r="D21" s="82"/>
      <c r="E21" s="82"/>
      <c r="F21" s="82"/>
      <c r="G21" s="82"/>
      <c r="H21" s="82"/>
      <c r="I21" s="82"/>
      <c r="J21" s="82"/>
      <c r="K21" s="82"/>
      <c r="L21" s="82"/>
      <c r="M21" s="83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</row>
    <row r="22" spans="1:45">
      <c r="A22" s="32"/>
      <c r="B22" s="32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5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</row>
    <row r="23" spans="1:45">
      <c r="A23" s="32"/>
      <c r="B23" s="32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5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</row>
    <row r="24" spans="1:45">
      <c r="A24" s="32"/>
      <c r="B24" s="32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5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</row>
    <row r="25" spans="1:45">
      <c r="A25" s="32"/>
      <c r="B25" s="32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5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</row>
    <row r="26" spans="1:45">
      <c r="A26" s="32"/>
      <c r="B26" s="32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5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</row>
    <row r="27" spans="1:45">
      <c r="A27" s="32"/>
      <c r="B27" s="32"/>
      <c r="C27" s="43"/>
      <c r="D27" s="44"/>
      <c r="E27" s="44"/>
      <c r="F27" s="44"/>
      <c r="G27" s="44"/>
      <c r="H27" s="44"/>
      <c r="I27" s="44"/>
      <c r="J27" s="44"/>
      <c r="K27" s="44"/>
      <c r="L27" s="44"/>
      <c r="M27" s="45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</row>
    <row r="28" spans="1:45">
      <c r="A28" s="32"/>
      <c r="B28" s="32"/>
      <c r="C28" s="43"/>
      <c r="D28" s="44"/>
      <c r="E28" s="44"/>
      <c r="F28" s="44"/>
      <c r="G28" s="44"/>
      <c r="H28" s="44"/>
      <c r="I28" s="44"/>
      <c r="J28" s="44"/>
      <c r="K28" s="44"/>
      <c r="L28" s="44"/>
      <c r="M28" s="45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</row>
    <row r="29" spans="1:45">
      <c r="A29" s="32"/>
      <c r="B29" s="32"/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5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</row>
    <row r="30" spans="1:45">
      <c r="A30" s="32"/>
      <c r="B30" s="32"/>
      <c r="C30" s="43"/>
      <c r="D30" s="44"/>
      <c r="E30" s="44"/>
      <c r="F30" s="44"/>
      <c r="G30" s="44"/>
      <c r="H30" s="44"/>
      <c r="I30" s="44"/>
      <c r="J30" s="44"/>
      <c r="K30" s="44"/>
      <c r="L30" s="44"/>
      <c r="M30" s="45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</row>
    <row r="31" spans="1:45">
      <c r="A31" s="32"/>
      <c r="B31" s="32"/>
      <c r="C31" s="43"/>
      <c r="D31" s="44"/>
      <c r="E31" s="44"/>
      <c r="F31" s="44"/>
      <c r="G31" s="44"/>
      <c r="H31" s="44"/>
      <c r="I31" s="44"/>
      <c r="J31" s="44"/>
      <c r="K31" s="44"/>
      <c r="L31" s="44"/>
      <c r="M31" s="45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</row>
    <row r="32" spans="1:45">
      <c r="A32" s="32"/>
      <c r="B32" s="32"/>
      <c r="C32" s="43"/>
      <c r="D32" s="44"/>
      <c r="E32" s="44"/>
      <c r="F32" s="44"/>
      <c r="G32" s="44"/>
      <c r="H32" s="44"/>
      <c r="I32" s="44"/>
      <c r="J32" s="44"/>
      <c r="K32" s="44"/>
      <c r="L32" s="44"/>
      <c r="M32" s="45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</row>
    <row r="33" spans="1:45">
      <c r="A33" s="32"/>
      <c r="B33" s="32"/>
      <c r="C33" s="43"/>
      <c r="D33" s="44"/>
      <c r="E33" s="44"/>
      <c r="F33" s="44"/>
      <c r="G33" s="44"/>
      <c r="H33" s="44"/>
      <c r="I33" s="44"/>
      <c r="J33" s="44"/>
      <c r="K33" s="44"/>
      <c r="L33" s="44"/>
      <c r="M33" s="45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</row>
    <row r="34" spans="1:45">
      <c r="A34" s="32"/>
      <c r="B34" s="32"/>
      <c r="C34" s="43"/>
      <c r="D34" s="44"/>
      <c r="E34" s="44"/>
      <c r="F34" s="44"/>
      <c r="G34" s="44"/>
      <c r="H34" s="44"/>
      <c r="I34" s="44"/>
      <c r="J34" s="44"/>
      <c r="K34" s="44"/>
      <c r="L34" s="44"/>
      <c r="M34" s="45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</row>
    <row r="35" spans="1:45">
      <c r="A35" s="32"/>
      <c r="B35" s="32"/>
      <c r="C35" s="88">
        <v>10</v>
      </c>
      <c r="D35" s="89"/>
      <c r="E35" s="75" t="s">
        <v>50</v>
      </c>
      <c r="F35" s="76"/>
      <c r="G35" s="76"/>
      <c r="H35" s="76"/>
      <c r="I35" s="76"/>
      <c r="J35" s="76"/>
      <c r="K35" s="77"/>
      <c r="L35" s="90">
        <v>7</v>
      </c>
      <c r="M35" s="91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</row>
    <row r="36" spans="1:45">
      <c r="A36" s="32"/>
      <c r="B36" s="32"/>
      <c r="C36" s="88">
        <v>5</v>
      </c>
      <c r="D36" s="89"/>
      <c r="E36" s="75" t="s">
        <v>51</v>
      </c>
      <c r="F36" s="76"/>
      <c r="G36" s="76"/>
      <c r="H36" s="76"/>
      <c r="I36" s="76"/>
      <c r="J36" s="76"/>
      <c r="K36" s="77"/>
      <c r="L36" s="90">
        <v>1</v>
      </c>
      <c r="M36" s="9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</row>
    <row r="37" spans="1:45">
      <c r="A37" s="32"/>
      <c r="B37" s="32"/>
      <c r="C37" s="88">
        <v>1</v>
      </c>
      <c r="D37" s="89"/>
      <c r="E37" s="75" t="s">
        <v>52</v>
      </c>
      <c r="F37" s="76"/>
      <c r="G37" s="76"/>
      <c r="H37" s="76"/>
      <c r="I37" s="76"/>
      <c r="J37" s="76"/>
      <c r="K37" s="77"/>
      <c r="L37" s="90">
        <v>4</v>
      </c>
      <c r="M37" s="91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</row>
    <row r="38" spans="1:45">
      <c r="A38" s="32"/>
      <c r="B38" s="32"/>
      <c r="C38" s="88">
        <v>4</v>
      </c>
      <c r="D38" s="89"/>
      <c r="E38" s="75" t="s">
        <v>53</v>
      </c>
      <c r="F38" s="76"/>
      <c r="G38" s="76"/>
      <c r="H38" s="76"/>
      <c r="I38" s="76"/>
      <c r="J38" s="76"/>
      <c r="K38" s="77"/>
      <c r="L38" s="90">
        <v>2</v>
      </c>
      <c r="M38" s="91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</row>
    <row r="39" spans="1:45">
      <c r="A39" s="32"/>
      <c r="B39" s="32"/>
      <c r="C39" s="88">
        <v>0</v>
      </c>
      <c r="D39" s="89"/>
      <c r="E39" s="75" t="s">
        <v>54</v>
      </c>
      <c r="F39" s="76"/>
      <c r="G39" s="76"/>
      <c r="H39" s="76"/>
      <c r="I39" s="76"/>
      <c r="J39" s="76"/>
      <c r="K39" s="77"/>
      <c r="L39" s="90">
        <v>0</v>
      </c>
      <c r="M39" s="91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</row>
    <row r="40" spans="1:45">
      <c r="A40" s="32"/>
      <c r="B40" s="32"/>
      <c r="C40" s="107">
        <v>4</v>
      </c>
      <c r="D40" s="108"/>
      <c r="E40" s="72" t="s">
        <v>55</v>
      </c>
      <c r="F40" s="73"/>
      <c r="G40" s="73"/>
      <c r="H40" s="73"/>
      <c r="I40" s="73"/>
      <c r="J40" s="73"/>
      <c r="K40" s="74"/>
      <c r="L40" s="111">
        <v>3</v>
      </c>
      <c r="M40" s="11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</row>
    <row r="41" spans="1:45">
      <c r="A41" s="32"/>
      <c r="B41" s="32"/>
      <c r="C41" s="109"/>
      <c r="D41" s="110"/>
      <c r="E41" s="78"/>
      <c r="F41" s="79"/>
      <c r="G41" s="79"/>
      <c r="H41" s="79"/>
      <c r="I41" s="79"/>
      <c r="J41" s="79"/>
      <c r="K41" s="80"/>
      <c r="L41" s="113"/>
      <c r="M41" s="114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</row>
    <row r="42" spans="1:45">
      <c r="A42" s="32"/>
      <c r="B42" s="32"/>
      <c r="C42" s="88">
        <v>0</v>
      </c>
      <c r="D42" s="92"/>
      <c r="E42" s="72" t="s">
        <v>56</v>
      </c>
      <c r="F42" s="73"/>
      <c r="G42" s="73"/>
      <c r="H42" s="73"/>
      <c r="I42" s="73"/>
      <c r="J42" s="73"/>
      <c r="K42" s="74"/>
      <c r="L42" s="92">
        <v>2</v>
      </c>
      <c r="M42" s="91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</row>
    <row r="43" spans="1:45">
      <c r="A43" s="32"/>
      <c r="B43" s="32"/>
      <c r="C43" s="88">
        <v>3</v>
      </c>
      <c r="D43" s="92"/>
      <c r="E43" s="72" t="s">
        <v>57</v>
      </c>
      <c r="F43" s="73"/>
      <c r="G43" s="73"/>
      <c r="H43" s="73"/>
      <c r="I43" s="73"/>
      <c r="J43" s="73"/>
      <c r="K43" s="74"/>
      <c r="L43" s="92">
        <v>2</v>
      </c>
      <c r="M43" s="91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</row>
    <row r="44" spans="1:45">
      <c r="A44" s="32"/>
      <c r="B44" s="32"/>
      <c r="C44" s="88">
        <v>0</v>
      </c>
      <c r="D44" s="92"/>
      <c r="E44" s="72" t="s">
        <v>58</v>
      </c>
      <c r="F44" s="73"/>
      <c r="G44" s="73"/>
      <c r="H44" s="73"/>
      <c r="I44" s="73"/>
      <c r="J44" s="73"/>
      <c r="K44" s="74"/>
      <c r="L44" s="92">
        <v>0</v>
      </c>
      <c r="M44" s="91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</row>
    <row r="45" spans="1:45">
      <c r="A45" s="32"/>
      <c r="B45" s="32"/>
      <c r="C45" s="88">
        <v>0</v>
      </c>
      <c r="D45" s="92"/>
      <c r="E45" s="72" t="s">
        <v>59</v>
      </c>
      <c r="F45" s="73"/>
      <c r="G45" s="73"/>
      <c r="H45" s="73"/>
      <c r="I45" s="73"/>
      <c r="J45" s="73"/>
      <c r="K45" s="74"/>
      <c r="L45" s="92">
        <v>0</v>
      </c>
      <c r="M45" s="91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</row>
    <row r="46" spans="1:45">
      <c r="A46" s="32"/>
      <c r="B46" s="32"/>
      <c r="C46" s="107">
        <v>229</v>
      </c>
      <c r="D46" s="115"/>
      <c r="E46" s="72" t="s">
        <v>60</v>
      </c>
      <c r="F46" s="73"/>
      <c r="G46" s="73"/>
      <c r="H46" s="73"/>
      <c r="I46" s="73"/>
      <c r="J46" s="73"/>
      <c r="K46" s="74"/>
      <c r="L46" s="115">
        <v>209</v>
      </c>
      <c r="M46" s="11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</row>
    <row r="47" spans="1:45">
      <c r="A47" s="32"/>
      <c r="B47" s="32"/>
      <c r="C47" s="109"/>
      <c r="D47" s="116"/>
      <c r="E47" s="93"/>
      <c r="F47" s="94"/>
      <c r="G47" s="94"/>
      <c r="H47" s="94"/>
      <c r="I47" s="94"/>
      <c r="J47" s="94"/>
      <c r="K47" s="95"/>
      <c r="L47" s="116"/>
      <c r="M47" s="114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</row>
    <row r="48" spans="1:45">
      <c r="A48" s="32"/>
      <c r="B48" s="32"/>
      <c r="C48" s="88">
        <v>8</v>
      </c>
      <c r="D48" s="92"/>
      <c r="E48" s="72" t="s">
        <v>61</v>
      </c>
      <c r="F48" s="73"/>
      <c r="G48" s="73"/>
      <c r="H48" s="73"/>
      <c r="I48" s="73"/>
      <c r="J48" s="73"/>
      <c r="K48" s="74"/>
      <c r="L48" s="92">
        <v>5</v>
      </c>
      <c r="M48" s="91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</row>
    <row r="49" spans="1:45">
      <c r="A49" s="32"/>
      <c r="B49" s="32"/>
      <c r="C49" s="88" t="s">
        <v>75</v>
      </c>
      <c r="D49" s="92"/>
      <c r="E49" s="72" t="s">
        <v>63</v>
      </c>
      <c r="F49" s="73"/>
      <c r="G49" s="73"/>
      <c r="H49" s="73"/>
      <c r="I49" s="73"/>
      <c r="J49" s="73"/>
      <c r="K49" s="74"/>
      <c r="L49" s="92" t="s">
        <v>76</v>
      </c>
      <c r="M49" s="91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</row>
    <row r="50" spans="1:45">
      <c r="A50" s="32"/>
      <c r="B50" s="32"/>
      <c r="C50" s="88" t="s">
        <v>77</v>
      </c>
      <c r="D50" s="92"/>
      <c r="E50" s="72" t="s">
        <v>66</v>
      </c>
      <c r="F50" s="73"/>
      <c r="G50" s="73"/>
      <c r="H50" s="73"/>
      <c r="I50" s="73"/>
      <c r="J50" s="73"/>
      <c r="K50" s="74"/>
      <c r="L50" s="92" t="s">
        <v>78</v>
      </c>
      <c r="M50" s="91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</row>
    <row r="51" spans="1:45">
      <c r="A51" s="32"/>
      <c r="B51" s="32"/>
      <c r="C51" s="88" t="s">
        <v>79</v>
      </c>
      <c r="D51" s="92"/>
      <c r="E51" s="72" t="s">
        <v>69</v>
      </c>
      <c r="F51" s="73"/>
      <c r="G51" s="73"/>
      <c r="H51" s="73"/>
      <c r="I51" s="73"/>
      <c r="J51" s="73"/>
      <c r="K51" s="74"/>
      <c r="L51" s="92" t="s">
        <v>80</v>
      </c>
      <c r="M51" s="91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</row>
    <row r="52" spans="1:45">
      <c r="A52" s="32"/>
      <c r="B52" s="32"/>
      <c r="C52" s="88">
        <v>6</v>
      </c>
      <c r="D52" s="92"/>
      <c r="E52" s="72" t="s">
        <v>71</v>
      </c>
      <c r="F52" s="73"/>
      <c r="G52" s="73"/>
      <c r="H52" s="73"/>
      <c r="I52" s="73"/>
      <c r="J52" s="73"/>
      <c r="K52" s="74"/>
      <c r="L52" s="92">
        <v>13</v>
      </c>
      <c r="M52" s="91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</row>
    <row r="53" spans="1:45">
      <c r="A53" s="32"/>
      <c r="B53" s="32"/>
      <c r="C53" s="88">
        <v>5</v>
      </c>
      <c r="D53" s="92"/>
      <c r="E53" s="72" t="s">
        <v>72</v>
      </c>
      <c r="F53" s="73"/>
      <c r="G53" s="73"/>
      <c r="H53" s="73"/>
      <c r="I53" s="73"/>
      <c r="J53" s="73"/>
      <c r="K53" s="74"/>
      <c r="L53" s="92">
        <v>9</v>
      </c>
      <c r="M53" s="91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</row>
    <row r="54" spans="1:45">
      <c r="A54" s="32"/>
      <c r="B54" s="32"/>
      <c r="C54" s="88">
        <v>6</v>
      </c>
      <c r="D54" s="92"/>
      <c r="E54" s="72" t="s">
        <v>73</v>
      </c>
      <c r="F54" s="73"/>
      <c r="G54" s="73"/>
      <c r="H54" s="73"/>
      <c r="I54" s="73"/>
      <c r="J54" s="73"/>
      <c r="K54" s="74"/>
      <c r="L54" s="92">
        <v>22</v>
      </c>
      <c r="M54" s="91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</row>
    <row r="55" spans="1:45">
      <c r="A55" s="32"/>
      <c r="B55" s="32"/>
      <c r="C55" s="88">
        <v>3</v>
      </c>
      <c r="D55" s="92"/>
      <c r="E55" s="75" t="s">
        <v>74</v>
      </c>
      <c r="F55" s="76"/>
      <c r="G55" s="76"/>
      <c r="H55" s="76"/>
      <c r="I55" s="76"/>
      <c r="J55" s="76"/>
      <c r="K55" s="77"/>
      <c r="L55" s="92">
        <v>1</v>
      </c>
      <c r="M55" s="91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</row>
    <row r="56" spans="1:4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</row>
    <row r="57" spans="1:4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</row>
    <row r="58" spans="1:4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</row>
    <row r="59" spans="1:4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</row>
    <row r="60" spans="1:4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</row>
    <row r="61" spans="1:4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</row>
    <row r="62" spans="1:4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</row>
    <row r="63" spans="1:4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</row>
    <row r="64" spans="1:4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</row>
    <row r="65" spans="1:4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</row>
    <row r="66" spans="1:4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</row>
    <row r="67" spans="1:4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</row>
    <row r="68" spans="1:4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</row>
    <row r="69" spans="1:4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</row>
    <row r="70" spans="1:4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</row>
    <row r="71" spans="1:4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</row>
    <row r="72" spans="1:4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</row>
    <row r="73" spans="1:4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</row>
    <row r="74" spans="1:4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</row>
    <row r="75" spans="1:4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</row>
    <row r="76" spans="1:4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</row>
    <row r="77" spans="1:4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</row>
    <row r="78" spans="1:4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</row>
    <row r="79" spans="1:4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</row>
    <row r="80" spans="1:4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</row>
    <row r="81" spans="1:4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</row>
    <row r="82" spans="1:4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</row>
    <row r="83" spans="1:4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</row>
    <row r="84" spans="1:4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</row>
    <row r="85" spans="1:4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</row>
    <row r="86" spans="1:4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</row>
    <row r="87" spans="1:4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</row>
    <row r="88" spans="1:4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</row>
    <row r="89" spans="1:4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</row>
    <row r="90" spans="1:4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</row>
    <row r="91" spans="1:4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</row>
    <row r="92" spans="1:4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</row>
    <row r="93" spans="1:4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</row>
    <row r="94" spans="1:4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</row>
    <row r="95" spans="1:4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</row>
    <row r="96" spans="1:4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</row>
    <row r="97" spans="1:4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</row>
    <row r="98" spans="1:4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</row>
    <row r="99" spans="1:4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</row>
    <row r="100" spans="1:4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</row>
    <row r="101" spans="1:4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</row>
    <row r="102" spans="1:4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</row>
    <row r="103" spans="1:4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</row>
    <row r="104" spans="1:4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</row>
    <row r="105" spans="1:4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</row>
    <row r="106" spans="1:4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</row>
    <row r="107" spans="1:4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</row>
    <row r="108" spans="1:4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</row>
    <row r="109" spans="1:4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</row>
    <row r="110" spans="1:4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</row>
    <row r="111" spans="1:4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</row>
    <row r="112" spans="1:4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</row>
    <row r="113" spans="1:4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</row>
    <row r="114" spans="1:4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</row>
    <row r="115" spans="1:4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</row>
    <row r="116" spans="1:4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</row>
    <row r="117" spans="1:4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</row>
    <row r="118" spans="1:4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</row>
    <row r="119" spans="1:4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</row>
    <row r="120" spans="1:4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</row>
    <row r="121" spans="1:4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</row>
    <row r="122" spans="1:4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</row>
    <row r="123" spans="1:4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</row>
    <row r="124" spans="1:4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</row>
    <row r="125" spans="1:4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</row>
    <row r="126" spans="1:4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</row>
    <row r="127" spans="1:4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</row>
    <row r="128" spans="1:4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</row>
    <row r="129" spans="1:4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</row>
    <row r="130" spans="1:4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</row>
    <row r="131" spans="1:4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</row>
    <row r="132" spans="1:4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</row>
    <row r="133" spans="1:4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</row>
    <row r="134" spans="1:4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</row>
    <row r="135" spans="1:4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</row>
    <row r="136" spans="1:4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</row>
    <row r="137" spans="1:4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</row>
    <row r="138" spans="1:4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</row>
    <row r="139" spans="1:4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</row>
    <row r="140" spans="1:4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</row>
    <row r="141" spans="1:4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</row>
    <row r="142" spans="1:4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</row>
    <row r="143" spans="1:4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</row>
    <row r="144" spans="1:4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</row>
    <row r="145" spans="1: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</row>
    <row r="146" spans="1:4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</row>
    <row r="147" spans="1:4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</row>
    <row r="148" spans="1:4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</row>
    <row r="149" spans="1:4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</row>
    <row r="150" spans="1:4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</row>
    <row r="151" spans="1:4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</row>
    <row r="152" spans="1:4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</row>
    <row r="153" spans="1:4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</row>
    <row r="154" spans="1:4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</row>
    <row r="155" spans="1:4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</row>
    <row r="156" spans="1:4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</row>
    <row r="157" spans="1:4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</row>
    <row r="158" spans="1:4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</row>
    <row r="159" spans="1:4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</row>
    <row r="160" spans="1:4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</row>
    <row r="161" spans="1:4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</row>
    <row r="162" spans="1:4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</row>
    <row r="163" spans="1:4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</row>
    <row r="164" spans="1:4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</row>
    <row r="165" spans="1:4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</row>
    <row r="166" spans="1:4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</row>
    <row r="167" spans="1:4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</row>
    <row r="168" spans="1:4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</row>
    <row r="169" spans="1:4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</row>
    <row r="170" spans="1:4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</row>
    <row r="171" spans="1:4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</row>
    <row r="172" spans="1:4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</row>
    <row r="173" spans="1:4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</row>
    <row r="174" spans="1:4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</row>
    <row r="175" spans="1:4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</row>
    <row r="176" spans="1:4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</row>
    <row r="177" spans="1:4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</row>
    <row r="178" spans="1:4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</row>
    <row r="179" spans="1:4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</row>
    <row r="180" spans="1:4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</row>
    <row r="181" spans="1:4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</row>
    <row r="182" spans="1:4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</row>
    <row r="183" spans="1:4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</row>
    <row r="184" spans="1:4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</row>
    <row r="185" spans="1:4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</row>
    <row r="186" spans="1:4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</row>
    <row r="187" spans="1:4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</row>
    <row r="188" spans="1:4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</row>
    <row r="189" spans="1:4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</row>
    <row r="190" spans="1:4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</row>
    <row r="191" spans="1:4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</row>
    <row r="192" spans="1:4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</row>
    <row r="193" spans="1:4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</row>
    <row r="194" spans="1:4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</row>
    <row r="195" spans="1:4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</row>
    <row r="196" spans="1:4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</row>
    <row r="197" spans="1:4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</row>
    <row r="198" spans="1:4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</row>
    <row r="199" spans="1:4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</row>
    <row r="200" spans="1:4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</row>
    <row r="201" spans="1:4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</row>
    <row r="202" spans="1:4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</row>
    <row r="203" spans="1:4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</row>
    <row r="204" spans="1:4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</row>
    <row r="205" spans="1:4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</row>
    <row r="206" spans="1:4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</row>
    <row r="207" spans="1:4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</row>
    <row r="208" spans="1:4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</row>
    <row r="209" spans="1:4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</row>
    <row r="210" spans="1:4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</row>
    <row r="211" spans="1:4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</row>
    <row r="212" spans="1:4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</row>
    <row r="213" spans="1:4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</row>
    <row r="214" spans="1:4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</row>
    <row r="215" spans="1:4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</row>
    <row r="216" spans="1:4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</row>
    <row r="217" spans="1:4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</row>
    <row r="218" spans="1:4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</row>
    <row r="219" spans="1:4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</row>
    <row r="220" spans="1:4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</row>
    <row r="221" spans="1:4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</row>
    <row r="222" spans="1:4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</row>
    <row r="223" spans="1:4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</row>
    <row r="224" spans="1:4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</row>
    <row r="225" spans="1:4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</row>
    <row r="226" spans="1:4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</row>
    <row r="227" spans="1:4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</row>
    <row r="228" spans="1:4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</row>
    <row r="229" spans="1:4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</row>
    <row r="230" spans="1:4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</row>
    <row r="231" spans="1:4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</row>
    <row r="232" spans="1:4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</row>
    <row r="233" spans="1:4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</row>
    <row r="234" spans="1:4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</row>
    <row r="235" spans="1:4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</row>
    <row r="236" spans="1:4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</row>
    <row r="237" spans="1:4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</row>
    <row r="238" spans="1:4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</row>
    <row r="239" spans="1:4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</row>
    <row r="240" spans="1:4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</row>
    <row r="241" spans="1:4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</row>
    <row r="242" spans="1:4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</row>
    <row r="243" spans="1:4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</row>
    <row r="244" spans="1:4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</row>
    <row r="245" spans="1: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</row>
    <row r="246" spans="1:4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</row>
    <row r="247" spans="1:4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</row>
    <row r="248" spans="1:4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</row>
    <row r="249" spans="1:4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</row>
    <row r="250" spans="1:4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</row>
    <row r="251" spans="1:4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</row>
    <row r="252" spans="1:4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</row>
    <row r="253" spans="1:4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</row>
    <row r="254" spans="1:4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</row>
    <row r="255" spans="1:4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</row>
    <row r="256" spans="1:4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</row>
    <row r="257" spans="1:4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</row>
    <row r="258" spans="1:4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</row>
    <row r="259" spans="1:4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</row>
    <row r="260" spans="1:4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</row>
    <row r="261" spans="1:4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</row>
    <row r="262" spans="1:4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</row>
    <row r="263" spans="1:4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</row>
    <row r="264" spans="1:4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</row>
    <row r="265" spans="1:4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</row>
    <row r="266" spans="1:4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</row>
    <row r="267" spans="1:4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</row>
    <row r="268" spans="1:4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</row>
    <row r="269" spans="1:4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</row>
    <row r="270" spans="1:4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</row>
    <row r="271" spans="1:4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</row>
    <row r="272" spans="1:4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</row>
    <row r="273" spans="1:4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</row>
  </sheetData>
  <dataConsolidate/>
  <mergeCells count="75">
    <mergeCell ref="C54:D54"/>
    <mergeCell ref="E54:K54"/>
    <mergeCell ref="L54:M54"/>
    <mergeCell ref="C55:D55"/>
    <mergeCell ref="E55:K55"/>
    <mergeCell ref="L55:M55"/>
    <mergeCell ref="C52:D52"/>
    <mergeCell ref="E52:K52"/>
    <mergeCell ref="L52:M52"/>
    <mergeCell ref="C53:D53"/>
    <mergeCell ref="E53:K53"/>
    <mergeCell ref="L53:M53"/>
    <mergeCell ref="C50:D50"/>
    <mergeCell ref="E50:K50"/>
    <mergeCell ref="L50:M50"/>
    <mergeCell ref="C51:D51"/>
    <mergeCell ref="E51:K51"/>
    <mergeCell ref="L51:M51"/>
    <mergeCell ref="C48:D48"/>
    <mergeCell ref="E48:K48"/>
    <mergeCell ref="L48:M48"/>
    <mergeCell ref="C49:D49"/>
    <mergeCell ref="E49:K49"/>
    <mergeCell ref="L49:M49"/>
    <mergeCell ref="C45:D45"/>
    <mergeCell ref="E45:K45"/>
    <mergeCell ref="L45:M45"/>
    <mergeCell ref="C46:D47"/>
    <mergeCell ref="E46:K47"/>
    <mergeCell ref="L46:M47"/>
    <mergeCell ref="C43:D43"/>
    <mergeCell ref="E43:K43"/>
    <mergeCell ref="L43:M43"/>
    <mergeCell ref="C44:D44"/>
    <mergeCell ref="E44:K44"/>
    <mergeCell ref="L44:M44"/>
    <mergeCell ref="C40:D41"/>
    <mergeCell ref="E40:K41"/>
    <mergeCell ref="L40:M41"/>
    <mergeCell ref="C42:D42"/>
    <mergeCell ref="E42:K42"/>
    <mergeCell ref="L42:M42"/>
    <mergeCell ref="C38:D38"/>
    <mergeCell ref="E38:K38"/>
    <mergeCell ref="L38:M38"/>
    <mergeCell ref="C39:D39"/>
    <mergeCell ref="E39:K39"/>
    <mergeCell ref="L39:M39"/>
    <mergeCell ref="C36:D36"/>
    <mergeCell ref="E36:K36"/>
    <mergeCell ref="L36:M36"/>
    <mergeCell ref="C37:D37"/>
    <mergeCell ref="E37:K37"/>
    <mergeCell ref="L37:M37"/>
    <mergeCell ref="C17:D17"/>
    <mergeCell ref="E17:K17"/>
    <mergeCell ref="L17:M17"/>
    <mergeCell ref="C20:M21"/>
    <mergeCell ref="C35:D35"/>
    <mergeCell ref="E35:K35"/>
    <mergeCell ref="L35:M35"/>
    <mergeCell ref="G1:I1"/>
    <mergeCell ref="G2:I2"/>
    <mergeCell ref="G3:I3"/>
    <mergeCell ref="G4:I4"/>
    <mergeCell ref="G5:I5"/>
    <mergeCell ref="G11:I11"/>
    <mergeCell ref="G12:I12"/>
    <mergeCell ref="G13:I13"/>
    <mergeCell ref="G14:I14"/>
    <mergeCell ref="G6:I6"/>
    <mergeCell ref="G7:I7"/>
    <mergeCell ref="G8:I8"/>
    <mergeCell ref="G9:I9"/>
    <mergeCell ref="G10:I1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B2D4-4A3F-4FEC-B468-247A9F028F44}">
  <dimension ref="C1:CD133"/>
  <sheetViews>
    <sheetView showGridLines="0" topLeftCell="A11" zoomScale="89" workbookViewId="0">
      <selection activeCell="O32" sqref="O32"/>
    </sheetView>
  </sheetViews>
  <sheetFormatPr defaultColWidth="8.6640625" defaultRowHeight="15"/>
  <cols>
    <col min="1" max="16384" width="8.6640625" style="3"/>
  </cols>
  <sheetData>
    <row r="1" spans="3:82"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</row>
    <row r="2" spans="3:82"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</row>
    <row r="3" spans="3:82"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</row>
    <row r="4" spans="3:82"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</row>
    <row r="5" spans="3:82"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</row>
    <row r="6" spans="3:82"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</row>
    <row r="7" spans="3:82"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</row>
    <row r="8" spans="3:82"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</row>
    <row r="9" spans="3:82"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</row>
    <row r="10" spans="3:82"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</row>
    <row r="11" spans="3:82"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</row>
    <row r="12" spans="3:82"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</row>
    <row r="13" spans="3:82"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</row>
    <row r="14" spans="3:82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</row>
    <row r="15" spans="3:82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</row>
    <row r="16" spans="3:82"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</row>
    <row r="17" spans="3:46">
      <c r="C17" s="32"/>
      <c r="D17" s="84">
        <v>0.53</v>
      </c>
      <c r="E17" s="85"/>
      <c r="F17" s="75" t="s">
        <v>49</v>
      </c>
      <c r="G17" s="76"/>
      <c r="H17" s="76"/>
      <c r="I17" s="76"/>
      <c r="J17" s="76"/>
      <c r="K17" s="76"/>
      <c r="L17" s="77"/>
      <c r="M17" s="86">
        <v>0.47</v>
      </c>
      <c r="N17" s="87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</row>
    <row r="18" spans="3:46">
      <c r="C18" s="32"/>
      <c r="D18" s="18"/>
      <c r="E18" s="15"/>
      <c r="F18" s="16"/>
      <c r="G18" s="16"/>
      <c r="H18" s="16"/>
      <c r="I18" s="16"/>
      <c r="J18" s="16"/>
      <c r="K18" s="16"/>
      <c r="L18" s="16"/>
      <c r="M18" s="15"/>
      <c r="N18" s="17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spans="3:46">
      <c r="C19" s="32"/>
      <c r="D19" s="19"/>
      <c r="E19" s="15"/>
      <c r="F19" s="16"/>
      <c r="G19" s="16"/>
      <c r="H19" s="16"/>
      <c r="I19" s="16"/>
      <c r="J19" s="16"/>
      <c r="K19" s="16"/>
      <c r="L19" s="16"/>
      <c r="M19" s="15"/>
      <c r="N19" s="1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3:46">
      <c r="C20" s="32"/>
      <c r="D20" s="81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spans="3:46">
      <c r="C21" s="32"/>
      <c r="D21" s="81"/>
      <c r="E21" s="82"/>
      <c r="F21" s="82"/>
      <c r="G21" s="82"/>
      <c r="H21" s="82"/>
      <c r="I21" s="82"/>
      <c r="J21" s="82"/>
      <c r="K21" s="82"/>
      <c r="L21" s="82"/>
      <c r="M21" s="82"/>
      <c r="N21" s="83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</row>
    <row r="22" spans="3:46">
      <c r="C22" s="32"/>
      <c r="D22" s="43"/>
      <c r="E22" s="44"/>
      <c r="F22" s="44"/>
      <c r="G22" s="44"/>
      <c r="H22" s="44"/>
      <c r="I22" s="44"/>
      <c r="J22" s="44"/>
      <c r="K22" s="44"/>
      <c r="L22" s="44"/>
      <c r="M22" s="44"/>
      <c r="N22" s="45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</row>
    <row r="23" spans="3:46">
      <c r="C23" s="32"/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5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</row>
    <row r="24" spans="3:46">
      <c r="C24" s="32"/>
      <c r="D24" s="43"/>
      <c r="E24" s="44"/>
      <c r="F24" s="44"/>
      <c r="G24" s="44"/>
      <c r="H24" s="44"/>
      <c r="I24" s="44"/>
      <c r="J24" s="44"/>
      <c r="K24" s="44"/>
      <c r="L24" s="44"/>
      <c r="M24" s="44"/>
      <c r="N24" s="45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</row>
    <row r="25" spans="3:46">
      <c r="C25" s="32"/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5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</row>
    <row r="26" spans="3:46">
      <c r="C26" s="32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5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</row>
    <row r="27" spans="3:46">
      <c r="C27" s="32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5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</row>
    <row r="28" spans="3:46">
      <c r="C28" s="32"/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5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</row>
    <row r="29" spans="3:46">
      <c r="C29" s="32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5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</row>
    <row r="30" spans="3:46">
      <c r="C30" s="32"/>
      <c r="D30" s="43"/>
      <c r="E30" s="44"/>
      <c r="F30" s="44"/>
      <c r="G30" s="44"/>
      <c r="H30" s="44"/>
      <c r="I30" s="44"/>
      <c r="J30" s="44"/>
      <c r="K30" s="44"/>
      <c r="L30" s="44"/>
      <c r="M30" s="44"/>
      <c r="N30" s="45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</row>
    <row r="31" spans="3:46">
      <c r="C31" s="32"/>
      <c r="D31" s="43"/>
      <c r="E31" s="44"/>
      <c r="F31" s="44"/>
      <c r="G31" s="44"/>
      <c r="H31" s="44"/>
      <c r="I31" s="44"/>
      <c r="J31" s="44"/>
      <c r="K31" s="44"/>
      <c r="L31" s="44"/>
      <c r="M31" s="44"/>
      <c r="N31" s="45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</row>
    <row r="32" spans="3:46">
      <c r="C32" s="32"/>
      <c r="D32" s="43"/>
      <c r="E32" s="44"/>
      <c r="F32" s="44"/>
      <c r="G32" s="44"/>
      <c r="H32" s="44"/>
      <c r="I32" s="44"/>
      <c r="J32" s="44"/>
      <c r="K32" s="44"/>
      <c r="L32" s="44"/>
      <c r="M32" s="44"/>
      <c r="N32" s="45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</row>
    <row r="33" spans="3:46">
      <c r="C33" s="32"/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spans="3:46">
      <c r="C34" s="32"/>
      <c r="D34" s="43"/>
      <c r="E34" s="44"/>
      <c r="F34" s="44"/>
      <c r="G34" s="44"/>
      <c r="H34" s="44"/>
      <c r="I34" s="44"/>
      <c r="J34" s="44"/>
      <c r="K34" s="44"/>
      <c r="L34" s="44"/>
      <c r="M34" s="44"/>
      <c r="N34" s="45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</row>
    <row r="35" spans="3:46">
      <c r="C35" s="32"/>
      <c r="D35" s="88">
        <v>8</v>
      </c>
      <c r="E35" s="89"/>
      <c r="F35" s="75" t="s">
        <v>50</v>
      </c>
      <c r="G35" s="76"/>
      <c r="H35" s="76"/>
      <c r="I35" s="76"/>
      <c r="J35" s="76"/>
      <c r="K35" s="76"/>
      <c r="L35" s="77"/>
      <c r="M35" s="90">
        <v>2</v>
      </c>
      <c r="N35" s="91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</row>
    <row r="36" spans="3:46">
      <c r="C36" s="32"/>
      <c r="D36" s="88">
        <v>4</v>
      </c>
      <c r="E36" s="89"/>
      <c r="F36" s="75" t="s">
        <v>51</v>
      </c>
      <c r="G36" s="76"/>
      <c r="H36" s="76"/>
      <c r="I36" s="76"/>
      <c r="J36" s="76"/>
      <c r="K36" s="76"/>
      <c r="L36" s="77"/>
      <c r="M36" s="90">
        <v>0</v>
      </c>
      <c r="N36" s="91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</row>
    <row r="37" spans="3:46">
      <c r="C37" s="32"/>
      <c r="D37" s="88">
        <v>2</v>
      </c>
      <c r="E37" s="89"/>
      <c r="F37" s="75" t="s">
        <v>52</v>
      </c>
      <c r="G37" s="76"/>
      <c r="H37" s="76"/>
      <c r="I37" s="76"/>
      <c r="J37" s="76"/>
      <c r="K37" s="76"/>
      <c r="L37" s="77"/>
      <c r="M37" s="90">
        <v>0</v>
      </c>
      <c r="N37" s="91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</row>
    <row r="38" spans="3:46">
      <c r="C38" s="32"/>
      <c r="D38" s="88">
        <v>2</v>
      </c>
      <c r="E38" s="89"/>
      <c r="F38" s="75" t="s">
        <v>53</v>
      </c>
      <c r="G38" s="76"/>
      <c r="H38" s="76"/>
      <c r="I38" s="76"/>
      <c r="J38" s="76"/>
      <c r="K38" s="76"/>
      <c r="L38" s="77"/>
      <c r="M38" s="90">
        <v>0</v>
      </c>
      <c r="N38" s="91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</row>
    <row r="39" spans="3:46">
      <c r="C39" s="32"/>
      <c r="D39" s="88">
        <v>0</v>
      </c>
      <c r="E39" s="89"/>
      <c r="F39" s="75" t="s">
        <v>54</v>
      </c>
      <c r="G39" s="76"/>
      <c r="H39" s="76"/>
      <c r="I39" s="76"/>
      <c r="J39" s="76"/>
      <c r="K39" s="76"/>
      <c r="L39" s="77"/>
      <c r="M39" s="90">
        <v>0</v>
      </c>
      <c r="N39" s="91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</row>
    <row r="40" spans="3:46">
      <c r="C40" s="32"/>
      <c r="D40" s="100">
        <v>6</v>
      </c>
      <c r="E40" s="101"/>
      <c r="F40" s="72" t="s">
        <v>55</v>
      </c>
      <c r="G40" s="73"/>
      <c r="H40" s="73"/>
      <c r="I40" s="73"/>
      <c r="J40" s="73"/>
      <c r="K40" s="73"/>
      <c r="L40" s="74"/>
      <c r="M40" s="96">
        <v>0</v>
      </c>
      <c r="N40" s="97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</row>
    <row r="41" spans="3:46">
      <c r="C41" s="32"/>
      <c r="D41" s="102"/>
      <c r="E41" s="103"/>
      <c r="F41" s="78"/>
      <c r="G41" s="79"/>
      <c r="H41" s="79"/>
      <c r="I41" s="79"/>
      <c r="J41" s="79"/>
      <c r="K41" s="79"/>
      <c r="L41" s="80"/>
      <c r="M41" s="98"/>
      <c r="N41" s="99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</row>
    <row r="42" spans="3:46" ht="15.6" customHeight="1">
      <c r="C42" s="32"/>
      <c r="D42" s="88">
        <v>3</v>
      </c>
      <c r="E42" s="92"/>
      <c r="F42" s="72" t="s">
        <v>56</v>
      </c>
      <c r="G42" s="73"/>
      <c r="H42" s="73"/>
      <c r="I42" s="73"/>
      <c r="J42" s="73"/>
      <c r="K42" s="73"/>
      <c r="L42" s="74"/>
      <c r="M42" s="92">
        <v>0</v>
      </c>
      <c r="N42" s="91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</row>
    <row r="43" spans="3:46" ht="15.6" customHeight="1">
      <c r="C43" s="32"/>
      <c r="D43" s="88">
        <v>7</v>
      </c>
      <c r="E43" s="92"/>
      <c r="F43" s="72" t="s">
        <v>57</v>
      </c>
      <c r="G43" s="73"/>
      <c r="H43" s="73"/>
      <c r="I43" s="73"/>
      <c r="J43" s="73"/>
      <c r="K43" s="73"/>
      <c r="L43" s="74"/>
      <c r="M43" s="92">
        <v>2</v>
      </c>
      <c r="N43" s="91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</row>
    <row r="44" spans="3:46" ht="15.6" customHeight="1">
      <c r="C44" s="32"/>
      <c r="D44" s="88">
        <v>0</v>
      </c>
      <c r="E44" s="92"/>
      <c r="F44" s="72" t="s">
        <v>58</v>
      </c>
      <c r="G44" s="73"/>
      <c r="H44" s="73"/>
      <c r="I44" s="73"/>
      <c r="J44" s="73"/>
      <c r="K44" s="73"/>
      <c r="L44" s="74"/>
      <c r="M44" s="92">
        <v>1</v>
      </c>
      <c r="N44" s="91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</row>
    <row r="45" spans="3:46" ht="15.6" customHeight="1">
      <c r="C45" s="32"/>
      <c r="D45" s="88">
        <v>0</v>
      </c>
      <c r="E45" s="92"/>
      <c r="F45" s="72" t="s">
        <v>59</v>
      </c>
      <c r="G45" s="73"/>
      <c r="H45" s="73"/>
      <c r="I45" s="73"/>
      <c r="J45" s="73"/>
      <c r="K45" s="73"/>
      <c r="L45" s="74"/>
      <c r="M45" s="92">
        <v>0</v>
      </c>
      <c r="N45" s="91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</row>
    <row r="46" spans="3:46" ht="15.6" customHeight="1">
      <c r="C46" s="32"/>
      <c r="D46" s="100">
        <v>206</v>
      </c>
      <c r="E46" s="104"/>
      <c r="F46" s="72" t="s">
        <v>60</v>
      </c>
      <c r="G46" s="73"/>
      <c r="H46" s="73"/>
      <c r="I46" s="73"/>
      <c r="J46" s="73"/>
      <c r="K46" s="73"/>
      <c r="L46" s="74"/>
      <c r="M46" s="104">
        <v>249</v>
      </c>
      <c r="N46" s="97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</row>
    <row r="47" spans="3:46" ht="15.6" customHeight="1">
      <c r="C47" s="32"/>
      <c r="D47" s="102"/>
      <c r="E47" s="105"/>
      <c r="F47" s="93"/>
      <c r="G47" s="94"/>
      <c r="H47" s="94"/>
      <c r="I47" s="94"/>
      <c r="J47" s="94"/>
      <c r="K47" s="94"/>
      <c r="L47" s="95"/>
      <c r="M47" s="105"/>
      <c r="N47" s="99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</row>
    <row r="48" spans="3:46" ht="15.6" customHeight="1">
      <c r="C48" s="32"/>
      <c r="D48" s="88">
        <v>4</v>
      </c>
      <c r="E48" s="92"/>
      <c r="F48" s="72" t="s">
        <v>61</v>
      </c>
      <c r="G48" s="73"/>
      <c r="H48" s="73"/>
      <c r="I48" s="73"/>
      <c r="J48" s="73"/>
      <c r="K48" s="73"/>
      <c r="L48" s="74"/>
      <c r="M48" s="92">
        <v>1</v>
      </c>
      <c r="N48" s="91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</row>
    <row r="49" spans="3:46" ht="15.6" customHeight="1">
      <c r="C49" s="32"/>
      <c r="D49" s="88" t="s">
        <v>81</v>
      </c>
      <c r="E49" s="92"/>
      <c r="F49" s="72" t="s">
        <v>63</v>
      </c>
      <c r="G49" s="73"/>
      <c r="H49" s="73"/>
      <c r="I49" s="73"/>
      <c r="J49" s="73"/>
      <c r="K49" s="73"/>
      <c r="L49" s="74"/>
      <c r="M49" s="92" t="s">
        <v>82</v>
      </c>
      <c r="N49" s="91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</row>
    <row r="50" spans="3:46" ht="15.6" customHeight="1">
      <c r="C50" s="32"/>
      <c r="D50" s="88" t="s">
        <v>83</v>
      </c>
      <c r="E50" s="92"/>
      <c r="F50" s="72" t="s">
        <v>66</v>
      </c>
      <c r="G50" s="73"/>
      <c r="H50" s="73"/>
      <c r="I50" s="73"/>
      <c r="J50" s="73"/>
      <c r="K50" s="73"/>
      <c r="L50" s="74"/>
      <c r="M50" s="92" t="s">
        <v>84</v>
      </c>
      <c r="N50" s="91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</row>
    <row r="51" spans="3:46" ht="15.6" customHeight="1">
      <c r="C51" s="32"/>
      <c r="D51" s="88" t="s">
        <v>85</v>
      </c>
      <c r="E51" s="92"/>
      <c r="F51" s="72" t="s">
        <v>69</v>
      </c>
      <c r="G51" s="73"/>
      <c r="H51" s="73"/>
      <c r="I51" s="73"/>
      <c r="J51" s="73"/>
      <c r="K51" s="73"/>
      <c r="L51" s="74"/>
      <c r="M51" s="92" t="s">
        <v>86</v>
      </c>
      <c r="N51" s="91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</row>
    <row r="52" spans="3:46" ht="15.6" customHeight="1">
      <c r="C52" s="32"/>
      <c r="D52" s="88">
        <v>8</v>
      </c>
      <c r="E52" s="92"/>
      <c r="F52" s="72" t="s">
        <v>71</v>
      </c>
      <c r="G52" s="73"/>
      <c r="H52" s="73"/>
      <c r="I52" s="73"/>
      <c r="J52" s="73"/>
      <c r="K52" s="73"/>
      <c r="L52" s="74"/>
      <c r="M52" s="92">
        <v>13</v>
      </c>
      <c r="N52" s="91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</row>
    <row r="53" spans="3:46" ht="15.6" customHeight="1">
      <c r="C53" s="32"/>
      <c r="D53" s="88">
        <v>5</v>
      </c>
      <c r="E53" s="92"/>
      <c r="F53" s="72" t="s">
        <v>72</v>
      </c>
      <c r="G53" s="73"/>
      <c r="H53" s="73"/>
      <c r="I53" s="73"/>
      <c r="J53" s="73"/>
      <c r="K53" s="73"/>
      <c r="L53" s="74"/>
      <c r="M53" s="92">
        <v>4</v>
      </c>
      <c r="N53" s="91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</row>
    <row r="54" spans="3:46" ht="15.6" customHeight="1">
      <c r="C54" s="32"/>
      <c r="D54" s="88">
        <v>4</v>
      </c>
      <c r="E54" s="92"/>
      <c r="F54" s="72" t="s">
        <v>73</v>
      </c>
      <c r="G54" s="73"/>
      <c r="H54" s="73"/>
      <c r="I54" s="73"/>
      <c r="J54" s="73"/>
      <c r="K54" s="73"/>
      <c r="L54" s="74"/>
      <c r="M54" s="92">
        <v>27</v>
      </c>
      <c r="N54" s="91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</row>
    <row r="55" spans="3:46" ht="15.6" customHeight="1">
      <c r="C55" s="32"/>
      <c r="D55" s="88">
        <v>0</v>
      </c>
      <c r="E55" s="92"/>
      <c r="F55" s="75" t="s">
        <v>74</v>
      </c>
      <c r="G55" s="76"/>
      <c r="H55" s="76"/>
      <c r="I55" s="76"/>
      <c r="J55" s="76"/>
      <c r="K55" s="76"/>
      <c r="L55" s="77"/>
      <c r="M55" s="92">
        <v>1</v>
      </c>
      <c r="N55" s="91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</row>
    <row r="56" spans="3:46"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</row>
    <row r="57" spans="3:46"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</row>
    <row r="58" spans="3:46"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</row>
    <row r="59" spans="3:46"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</row>
    <row r="60" spans="3:46"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</row>
    <row r="61" spans="3:46"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</row>
    <row r="62" spans="3:46"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</row>
    <row r="63" spans="3:46"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</row>
    <row r="64" spans="3:46"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</row>
    <row r="65" spans="3:46"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</row>
    <row r="66" spans="3:46"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</row>
    <row r="67" spans="3:46"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</row>
    <row r="68" spans="3:46"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</row>
    <row r="69" spans="3:46"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</row>
    <row r="70" spans="3:46"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</row>
    <row r="71" spans="3:46"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</row>
    <row r="72" spans="3:46"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</row>
    <row r="73" spans="3:46"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</row>
    <row r="74" spans="3:46"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</row>
    <row r="75" spans="3:46"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</row>
    <row r="76" spans="3:46"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</row>
    <row r="77" spans="3:46"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</row>
    <row r="78" spans="3:46"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</row>
    <row r="79" spans="3:46"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</row>
    <row r="80" spans="3:46"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</row>
    <row r="81" spans="3:46"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</row>
    <row r="82" spans="3:46"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</row>
    <row r="83" spans="3:46"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</row>
    <row r="84" spans="3:46"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</row>
    <row r="85" spans="3:46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</row>
    <row r="86" spans="3:46"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</row>
    <row r="87" spans="3:46"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</row>
    <row r="88" spans="3:46"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</row>
    <row r="89" spans="3:46"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</row>
    <row r="90" spans="3:46"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</row>
    <row r="91" spans="3:46"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</row>
    <row r="92" spans="3:46"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</row>
    <row r="93" spans="3:46"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</row>
    <row r="94" spans="3:46"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</row>
    <row r="95" spans="3:46"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</row>
    <row r="96" spans="3:46"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</row>
    <row r="97" spans="3:46"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</row>
    <row r="98" spans="3:46"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</row>
    <row r="99" spans="3:46"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</row>
    <row r="100" spans="3:46"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</row>
    <row r="101" spans="3:46"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</row>
    <row r="102" spans="3:46"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</row>
    <row r="103" spans="3:46"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</row>
    <row r="104" spans="3:46"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</row>
    <row r="105" spans="3:46"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</row>
    <row r="106" spans="3:46"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</row>
    <row r="107" spans="3:46"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</row>
    <row r="108" spans="3:46"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</row>
    <row r="109" spans="3:46"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</row>
    <row r="110" spans="3:46"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</row>
    <row r="111" spans="3:46"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</row>
    <row r="112" spans="3:46"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</row>
    <row r="113" spans="3:46"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</row>
    <row r="114" spans="3:46"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</row>
    <row r="115" spans="3:46"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</row>
    <row r="116" spans="3:46"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</row>
    <row r="117" spans="3:46"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</row>
    <row r="118" spans="3:46"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</row>
    <row r="119" spans="3:46"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</row>
    <row r="120" spans="3:46"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</row>
    <row r="121" spans="3:46"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</row>
    <row r="122" spans="3:46"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</row>
    <row r="123" spans="3:46"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</row>
    <row r="124" spans="3:46"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</row>
    <row r="125" spans="3:46"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</row>
    <row r="126" spans="3:46"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</row>
    <row r="127" spans="3:46"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</row>
    <row r="128" spans="3:46"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</row>
    <row r="129" spans="3:46"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</row>
    <row r="130" spans="3:46"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</row>
    <row r="131" spans="3:46"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</row>
    <row r="132" spans="3:46"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</row>
    <row r="133" spans="3:46"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</row>
  </sheetData>
  <mergeCells count="61">
    <mergeCell ref="D52:E52"/>
    <mergeCell ref="F52:L52"/>
    <mergeCell ref="M52:N52"/>
    <mergeCell ref="D55:E55"/>
    <mergeCell ref="F55:L55"/>
    <mergeCell ref="M55:N55"/>
    <mergeCell ref="D53:E53"/>
    <mergeCell ref="F53:L53"/>
    <mergeCell ref="M53:N53"/>
    <mergeCell ref="D54:E54"/>
    <mergeCell ref="F54:L54"/>
    <mergeCell ref="M54:N54"/>
    <mergeCell ref="D50:E50"/>
    <mergeCell ref="F50:L50"/>
    <mergeCell ref="M50:N50"/>
    <mergeCell ref="D51:E51"/>
    <mergeCell ref="F51:L51"/>
    <mergeCell ref="M51:N51"/>
    <mergeCell ref="D48:E48"/>
    <mergeCell ref="F48:L48"/>
    <mergeCell ref="M48:N48"/>
    <mergeCell ref="D49:E49"/>
    <mergeCell ref="F49:L49"/>
    <mergeCell ref="M49:N49"/>
    <mergeCell ref="D45:E45"/>
    <mergeCell ref="F45:L45"/>
    <mergeCell ref="M45:N45"/>
    <mergeCell ref="D46:E47"/>
    <mergeCell ref="F46:L47"/>
    <mergeCell ref="M46:N47"/>
    <mergeCell ref="D43:E43"/>
    <mergeCell ref="F43:L43"/>
    <mergeCell ref="M43:N43"/>
    <mergeCell ref="D44:E44"/>
    <mergeCell ref="F44:L44"/>
    <mergeCell ref="M44:N44"/>
    <mergeCell ref="D40:E41"/>
    <mergeCell ref="F40:L41"/>
    <mergeCell ref="M40:N41"/>
    <mergeCell ref="D42:E42"/>
    <mergeCell ref="F42:L42"/>
    <mergeCell ref="M42:N42"/>
    <mergeCell ref="D38:E38"/>
    <mergeCell ref="F38:L38"/>
    <mergeCell ref="M38:N38"/>
    <mergeCell ref="D39:E39"/>
    <mergeCell ref="F39:L39"/>
    <mergeCell ref="M39:N39"/>
    <mergeCell ref="D36:E36"/>
    <mergeCell ref="F36:L36"/>
    <mergeCell ref="M36:N36"/>
    <mergeCell ref="D37:E37"/>
    <mergeCell ref="F37:L37"/>
    <mergeCell ref="M37:N37"/>
    <mergeCell ref="D20:N21"/>
    <mergeCell ref="D17:E17"/>
    <mergeCell ref="F17:L17"/>
    <mergeCell ref="M17:N17"/>
    <mergeCell ref="D35:E35"/>
    <mergeCell ref="F35:L35"/>
    <mergeCell ref="M35:N35"/>
  </mergeCells>
  <conditionalFormatting sqref="D18:N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{1F6B2A77-EF99-44D2-8D7E-4482917E34A9}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6B2A77-EF99-44D2-8D7E-4482917E3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D18:N19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2C17-6C1A-4423-831D-D750F3982B01}">
  <dimension ref="A1:BL458"/>
  <sheetViews>
    <sheetView showGridLines="0" tabSelected="1" zoomScale="78" workbookViewId="0">
      <selection activeCell="S21" sqref="S21"/>
    </sheetView>
  </sheetViews>
  <sheetFormatPr defaultRowHeight="14.4"/>
  <sheetData>
    <row r="1" spans="1:55" ht="15.6">
      <c r="A1" s="3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</row>
    <row r="2" spans="1:55"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</row>
    <row r="3" spans="1:55"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</row>
    <row r="4" spans="1:55"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</row>
    <row r="5" spans="1:55"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pans="1:55"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</row>
    <row r="12" spans="1:55"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</row>
    <row r="13" spans="1:55"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</row>
    <row r="14" spans="1:55"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</row>
    <row r="15" spans="1:55"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</row>
    <row r="16" spans="1:55"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</row>
    <row r="17" spans="3:64" ht="15.6">
      <c r="C17" s="34"/>
      <c r="D17" s="84">
        <v>0.7</v>
      </c>
      <c r="E17" s="85"/>
      <c r="F17" s="75" t="s">
        <v>49</v>
      </c>
      <c r="G17" s="76"/>
      <c r="H17" s="76"/>
      <c r="I17" s="76"/>
      <c r="J17" s="76"/>
      <c r="K17" s="76"/>
      <c r="L17" s="77"/>
      <c r="M17" s="86">
        <v>0.3</v>
      </c>
      <c r="N17" s="8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</row>
    <row r="18" spans="3:64" ht="15" customHeight="1">
      <c r="C18" s="34"/>
      <c r="D18" s="18"/>
      <c r="E18" s="15"/>
      <c r="F18" s="16"/>
      <c r="G18" s="16"/>
      <c r="H18" s="16"/>
      <c r="I18" s="16"/>
      <c r="J18" s="16"/>
      <c r="K18" s="16"/>
      <c r="L18" s="16"/>
      <c r="M18" s="15"/>
      <c r="N18" s="1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</row>
    <row r="19" spans="3:64" ht="15" customHeight="1">
      <c r="C19" s="34"/>
      <c r="D19" s="19"/>
      <c r="E19" s="15"/>
      <c r="F19" s="16"/>
      <c r="G19" s="16"/>
      <c r="H19" s="16"/>
      <c r="I19" s="16"/>
      <c r="J19" s="16"/>
      <c r="K19" s="16"/>
      <c r="L19" s="16"/>
      <c r="M19" s="15"/>
      <c r="N19" s="17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</row>
    <row r="20" spans="3:64">
      <c r="C20" s="34"/>
      <c r="D20" s="81"/>
      <c r="E20" s="82"/>
      <c r="F20" s="82"/>
      <c r="G20" s="82"/>
      <c r="H20" s="82"/>
      <c r="I20" s="82"/>
      <c r="J20" s="82"/>
      <c r="K20" s="82"/>
      <c r="L20" s="82"/>
      <c r="M20" s="82"/>
      <c r="N20" s="8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</row>
    <row r="21" spans="3:64">
      <c r="C21" s="34"/>
      <c r="D21" s="81"/>
      <c r="E21" s="82"/>
      <c r="F21" s="82"/>
      <c r="G21" s="82"/>
      <c r="H21" s="82"/>
      <c r="I21" s="82"/>
      <c r="J21" s="82"/>
      <c r="K21" s="82"/>
      <c r="L21" s="82"/>
      <c r="M21" s="82"/>
      <c r="N21" s="8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</row>
    <row r="22" spans="3:64" ht="15.6">
      <c r="C22" s="34"/>
      <c r="D22" s="43"/>
      <c r="E22" s="44"/>
      <c r="F22" s="44"/>
      <c r="G22" s="44"/>
      <c r="H22" s="44"/>
      <c r="I22" s="44"/>
      <c r="J22" s="44"/>
      <c r="K22" s="44"/>
      <c r="L22" s="44"/>
      <c r="M22" s="44"/>
      <c r="N22" s="45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</row>
    <row r="23" spans="3:64" ht="15.6">
      <c r="C23" s="34"/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5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</row>
    <row r="24" spans="3:64" ht="15.6">
      <c r="C24" s="34"/>
      <c r="D24" s="43"/>
      <c r="E24" s="44"/>
      <c r="F24" s="44"/>
      <c r="G24" s="44"/>
      <c r="H24" s="44"/>
      <c r="I24" s="44"/>
      <c r="J24" s="44"/>
      <c r="K24" s="44"/>
      <c r="L24" s="44"/>
      <c r="M24" s="44"/>
      <c r="N24" s="4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</row>
    <row r="25" spans="3:64" ht="15" customHeight="1">
      <c r="C25" s="34"/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</row>
    <row r="26" spans="3:64" ht="15" customHeight="1">
      <c r="C26" s="34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5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</row>
    <row r="27" spans="3:64" ht="15.6">
      <c r="C27" s="34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5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</row>
    <row r="28" spans="3:64" ht="15.6">
      <c r="C28" s="34"/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5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</row>
    <row r="29" spans="3:64" ht="15.6">
      <c r="C29" s="34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5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</row>
    <row r="30" spans="3:64" ht="15.6">
      <c r="C30" s="34"/>
      <c r="D30" s="43"/>
      <c r="E30" s="44"/>
      <c r="F30" s="44"/>
      <c r="G30" s="44"/>
      <c r="H30" s="44"/>
      <c r="I30" s="44"/>
      <c r="J30" s="44"/>
      <c r="K30" s="44"/>
      <c r="L30" s="44"/>
      <c r="M30" s="44"/>
      <c r="N30" s="45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</row>
    <row r="31" spans="3:64" ht="15" customHeight="1">
      <c r="C31" s="34"/>
      <c r="D31" s="43"/>
      <c r="E31" s="44"/>
      <c r="F31" s="44"/>
      <c r="G31" s="44"/>
      <c r="H31" s="44"/>
      <c r="I31" s="44"/>
      <c r="J31" s="44"/>
      <c r="K31" s="44"/>
      <c r="L31" s="44"/>
      <c r="M31" s="44"/>
      <c r="N31" s="45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</row>
    <row r="32" spans="3:64" ht="15" customHeight="1">
      <c r="C32" s="34"/>
      <c r="D32" s="43"/>
      <c r="E32" s="44"/>
      <c r="F32" s="44"/>
      <c r="G32" s="44"/>
      <c r="H32" s="44"/>
      <c r="I32" s="44"/>
      <c r="J32" s="44"/>
      <c r="K32" s="44"/>
      <c r="L32" s="44"/>
      <c r="M32" s="44"/>
      <c r="N32" s="45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</row>
    <row r="33" spans="3:64" ht="15.6">
      <c r="C33" s="34"/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</row>
    <row r="34" spans="3:64" ht="15.6">
      <c r="C34" s="34"/>
      <c r="D34" s="43"/>
      <c r="E34" s="44"/>
      <c r="F34" s="44"/>
      <c r="G34" s="44"/>
      <c r="H34" s="44"/>
      <c r="I34" s="44"/>
      <c r="J34" s="44"/>
      <c r="K34" s="44"/>
      <c r="L34" s="44"/>
      <c r="M34" s="44"/>
      <c r="N34" s="45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</row>
    <row r="35" spans="3:64" ht="15.6">
      <c r="C35" s="34"/>
      <c r="D35" s="88">
        <v>10</v>
      </c>
      <c r="E35" s="89"/>
      <c r="F35" s="75" t="s">
        <v>50</v>
      </c>
      <c r="G35" s="76"/>
      <c r="H35" s="76"/>
      <c r="I35" s="76"/>
      <c r="J35" s="76"/>
      <c r="K35" s="76"/>
      <c r="L35" s="77"/>
      <c r="M35" s="90">
        <v>7</v>
      </c>
      <c r="N35" s="91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</row>
    <row r="36" spans="3:64" ht="15.6">
      <c r="C36" s="34"/>
      <c r="D36" s="88">
        <v>5</v>
      </c>
      <c r="E36" s="89"/>
      <c r="F36" s="75" t="s">
        <v>51</v>
      </c>
      <c r="G36" s="76"/>
      <c r="H36" s="76"/>
      <c r="I36" s="76"/>
      <c r="J36" s="76"/>
      <c r="K36" s="76"/>
      <c r="L36" s="77"/>
      <c r="M36" s="90">
        <v>1</v>
      </c>
      <c r="N36" s="91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</row>
    <row r="37" spans="3:64" ht="15.6">
      <c r="C37" s="34"/>
      <c r="D37" s="88">
        <v>1</v>
      </c>
      <c r="E37" s="89"/>
      <c r="F37" s="75" t="s">
        <v>52</v>
      </c>
      <c r="G37" s="76"/>
      <c r="H37" s="76"/>
      <c r="I37" s="76"/>
      <c r="J37" s="76"/>
      <c r="K37" s="76"/>
      <c r="L37" s="77"/>
      <c r="M37" s="90">
        <v>4</v>
      </c>
      <c r="N37" s="91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</row>
    <row r="38" spans="3:64" ht="15.6">
      <c r="C38" s="34"/>
      <c r="D38" s="88">
        <v>4</v>
      </c>
      <c r="E38" s="89"/>
      <c r="F38" s="75" t="s">
        <v>53</v>
      </c>
      <c r="G38" s="76"/>
      <c r="H38" s="76"/>
      <c r="I38" s="76"/>
      <c r="J38" s="76"/>
      <c r="K38" s="76"/>
      <c r="L38" s="77"/>
      <c r="M38" s="90">
        <v>2</v>
      </c>
      <c r="N38" s="91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</row>
    <row r="39" spans="3:64" ht="15.6">
      <c r="C39" s="34"/>
      <c r="D39" s="88">
        <v>0</v>
      </c>
      <c r="E39" s="89"/>
      <c r="F39" s="75" t="s">
        <v>54</v>
      </c>
      <c r="G39" s="76"/>
      <c r="H39" s="76"/>
      <c r="I39" s="76"/>
      <c r="J39" s="76"/>
      <c r="K39" s="76"/>
      <c r="L39" s="77"/>
      <c r="M39" s="90">
        <v>0</v>
      </c>
      <c r="N39" s="91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</row>
    <row r="40" spans="3:64">
      <c r="C40" s="34"/>
      <c r="D40" s="100">
        <v>4</v>
      </c>
      <c r="E40" s="101"/>
      <c r="F40" s="72" t="s">
        <v>55</v>
      </c>
      <c r="G40" s="73"/>
      <c r="H40" s="73"/>
      <c r="I40" s="73"/>
      <c r="J40" s="73"/>
      <c r="K40" s="73"/>
      <c r="L40" s="74"/>
      <c r="M40" s="96">
        <v>3</v>
      </c>
      <c r="N40" s="97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</row>
    <row r="41" spans="3:64">
      <c r="C41" s="34"/>
      <c r="D41" s="102"/>
      <c r="E41" s="103"/>
      <c r="F41" s="78"/>
      <c r="G41" s="79"/>
      <c r="H41" s="79"/>
      <c r="I41" s="79"/>
      <c r="J41" s="79"/>
      <c r="K41" s="79"/>
      <c r="L41" s="80"/>
      <c r="M41" s="98"/>
      <c r="N41" s="99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</row>
    <row r="42" spans="3:64" ht="14.4" customHeight="1">
      <c r="C42" s="34"/>
      <c r="D42" s="88">
        <v>0</v>
      </c>
      <c r="E42" s="92"/>
      <c r="F42" s="72" t="s">
        <v>56</v>
      </c>
      <c r="G42" s="73"/>
      <c r="H42" s="73"/>
      <c r="I42" s="73"/>
      <c r="J42" s="73"/>
      <c r="K42" s="73"/>
      <c r="L42" s="74"/>
      <c r="M42" s="92">
        <v>2</v>
      </c>
      <c r="N42" s="91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</row>
    <row r="43" spans="3:64" ht="14.4" customHeight="1">
      <c r="C43" s="34"/>
      <c r="D43" s="88">
        <v>4</v>
      </c>
      <c r="E43" s="92"/>
      <c r="F43" s="72" t="s">
        <v>57</v>
      </c>
      <c r="G43" s="73"/>
      <c r="H43" s="73"/>
      <c r="I43" s="73"/>
      <c r="J43" s="73"/>
      <c r="K43" s="73"/>
      <c r="L43" s="74"/>
      <c r="M43" s="92">
        <v>2</v>
      </c>
      <c r="N43" s="91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</row>
    <row r="44" spans="3:64" ht="14.4" customHeight="1">
      <c r="C44" s="34"/>
      <c r="D44" s="88">
        <v>0</v>
      </c>
      <c r="E44" s="92"/>
      <c r="F44" s="72" t="s">
        <v>58</v>
      </c>
      <c r="G44" s="73"/>
      <c r="H44" s="73"/>
      <c r="I44" s="73"/>
      <c r="J44" s="73"/>
      <c r="K44" s="73"/>
      <c r="L44" s="74"/>
      <c r="M44" s="92">
        <v>0</v>
      </c>
      <c r="N44" s="91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</row>
    <row r="45" spans="3:64" ht="14.4" customHeight="1">
      <c r="C45" s="34"/>
      <c r="D45" s="88">
        <v>0</v>
      </c>
      <c r="E45" s="92"/>
      <c r="F45" s="72" t="s">
        <v>59</v>
      </c>
      <c r="G45" s="73"/>
      <c r="H45" s="73"/>
      <c r="I45" s="73"/>
      <c r="J45" s="73"/>
      <c r="K45" s="73"/>
      <c r="L45" s="74"/>
      <c r="M45" s="92">
        <v>0</v>
      </c>
      <c r="N45" s="9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</row>
    <row r="46" spans="3:64" ht="14.4" customHeight="1">
      <c r="C46" s="34"/>
      <c r="D46" s="100">
        <v>229</v>
      </c>
      <c r="E46" s="104"/>
      <c r="F46" s="72" t="s">
        <v>60</v>
      </c>
      <c r="G46" s="73"/>
      <c r="H46" s="73"/>
      <c r="I46" s="73"/>
      <c r="J46" s="73"/>
      <c r="K46" s="73"/>
      <c r="L46" s="74"/>
      <c r="M46" s="104">
        <v>209</v>
      </c>
      <c r="N46" s="97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</row>
    <row r="47" spans="3:64" ht="14.4" customHeight="1">
      <c r="C47" s="34"/>
      <c r="D47" s="102"/>
      <c r="E47" s="105"/>
      <c r="F47" s="93"/>
      <c r="G47" s="94"/>
      <c r="H47" s="94"/>
      <c r="I47" s="94"/>
      <c r="J47" s="94"/>
      <c r="K47" s="94"/>
      <c r="L47" s="95"/>
      <c r="M47" s="105"/>
      <c r="N47" s="99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</row>
    <row r="48" spans="3:64" ht="14.4" customHeight="1">
      <c r="C48" s="34"/>
      <c r="D48" s="88">
        <v>8</v>
      </c>
      <c r="E48" s="92"/>
      <c r="F48" s="72" t="s">
        <v>61</v>
      </c>
      <c r="G48" s="73"/>
      <c r="H48" s="73"/>
      <c r="I48" s="73"/>
      <c r="J48" s="73"/>
      <c r="K48" s="73"/>
      <c r="L48" s="74"/>
      <c r="M48" s="92">
        <v>5</v>
      </c>
      <c r="N48" s="91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</row>
    <row r="49" spans="3:64" ht="14.4" customHeight="1">
      <c r="C49" s="34"/>
      <c r="D49" s="88" t="s">
        <v>75</v>
      </c>
      <c r="E49" s="92"/>
      <c r="F49" s="72" t="s">
        <v>63</v>
      </c>
      <c r="G49" s="73"/>
      <c r="H49" s="73"/>
      <c r="I49" s="73"/>
      <c r="J49" s="73"/>
      <c r="K49" s="73"/>
      <c r="L49" s="74"/>
      <c r="M49" s="92" t="s">
        <v>76</v>
      </c>
      <c r="N49" s="91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</row>
    <row r="50" spans="3:64" ht="14.4" customHeight="1">
      <c r="C50" s="34"/>
      <c r="D50" s="88" t="s">
        <v>77</v>
      </c>
      <c r="E50" s="92"/>
      <c r="F50" s="72" t="s">
        <v>66</v>
      </c>
      <c r="G50" s="73"/>
      <c r="H50" s="73"/>
      <c r="I50" s="73"/>
      <c r="J50" s="73"/>
      <c r="K50" s="73"/>
      <c r="L50" s="74"/>
      <c r="M50" s="92" t="s">
        <v>78</v>
      </c>
      <c r="N50" s="91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</row>
    <row r="51" spans="3:64" ht="14.4" customHeight="1">
      <c r="C51" s="34"/>
      <c r="D51" s="88" t="s">
        <v>79</v>
      </c>
      <c r="E51" s="92"/>
      <c r="F51" s="72" t="s">
        <v>69</v>
      </c>
      <c r="G51" s="73"/>
      <c r="H51" s="73"/>
      <c r="I51" s="73"/>
      <c r="J51" s="73"/>
      <c r="K51" s="73"/>
      <c r="L51" s="74"/>
      <c r="M51" s="92" t="s">
        <v>80</v>
      </c>
      <c r="N51" s="91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</row>
    <row r="52" spans="3:64" ht="14.4" customHeight="1">
      <c r="C52" s="34"/>
      <c r="D52" s="88">
        <v>6</v>
      </c>
      <c r="E52" s="92"/>
      <c r="F52" s="72" t="s">
        <v>71</v>
      </c>
      <c r="G52" s="73"/>
      <c r="H52" s="73"/>
      <c r="I52" s="73"/>
      <c r="J52" s="73"/>
      <c r="K52" s="73"/>
      <c r="L52" s="74"/>
      <c r="M52" s="92">
        <v>13</v>
      </c>
      <c r="N52" s="91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</row>
    <row r="53" spans="3:64" ht="14.4" customHeight="1">
      <c r="C53" s="34"/>
      <c r="D53" s="88">
        <v>5</v>
      </c>
      <c r="E53" s="92"/>
      <c r="F53" s="72" t="s">
        <v>72</v>
      </c>
      <c r="G53" s="73"/>
      <c r="H53" s="73"/>
      <c r="I53" s="73"/>
      <c r="J53" s="73"/>
      <c r="K53" s="73"/>
      <c r="L53" s="74"/>
      <c r="M53" s="92">
        <v>9</v>
      </c>
      <c r="N53" s="91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</row>
    <row r="54" spans="3:64" ht="14.4" customHeight="1">
      <c r="C54" s="34"/>
      <c r="D54" s="88">
        <v>6</v>
      </c>
      <c r="E54" s="92"/>
      <c r="F54" s="72" t="s">
        <v>73</v>
      </c>
      <c r="G54" s="73"/>
      <c r="H54" s="73"/>
      <c r="I54" s="73"/>
      <c r="J54" s="73"/>
      <c r="K54" s="73"/>
      <c r="L54" s="74"/>
      <c r="M54" s="92">
        <v>22</v>
      </c>
      <c r="N54" s="91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</row>
    <row r="55" spans="3:64" ht="14.4" customHeight="1">
      <c r="C55" s="34"/>
      <c r="D55" s="88">
        <v>3</v>
      </c>
      <c r="E55" s="92"/>
      <c r="F55" s="75" t="s">
        <v>74</v>
      </c>
      <c r="G55" s="76"/>
      <c r="H55" s="76"/>
      <c r="I55" s="76"/>
      <c r="J55" s="76"/>
      <c r="K55" s="76"/>
      <c r="L55" s="77"/>
      <c r="M55" s="92">
        <v>1</v>
      </c>
      <c r="N55" s="91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</row>
    <row r="56" spans="3:64"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</row>
    <row r="57" spans="3:64"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</row>
    <row r="58" spans="3:64"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</row>
    <row r="59" spans="3:64"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</row>
    <row r="60" spans="3:64"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</row>
    <row r="61" spans="3:64"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</row>
    <row r="62" spans="3:64"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</row>
    <row r="63" spans="3:64"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</row>
    <row r="64" spans="3:64"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</row>
    <row r="65" spans="3:64"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</row>
    <row r="66" spans="3:64"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</row>
    <row r="67" spans="3:64"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</row>
    <row r="68" spans="3:64"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</row>
    <row r="69" spans="3:64"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</row>
    <row r="70" spans="3:64"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</row>
    <row r="71" spans="3:64"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</row>
    <row r="72" spans="3:64"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</row>
    <row r="73" spans="3:64"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</row>
    <row r="74" spans="3:64"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</row>
    <row r="75" spans="3:64"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</row>
    <row r="76" spans="3:64"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</row>
    <row r="77" spans="3:64"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</row>
    <row r="78" spans="3:64"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</row>
    <row r="79" spans="3:64"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</row>
    <row r="80" spans="3:64"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</row>
    <row r="81" spans="3:64"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</row>
    <row r="82" spans="3:64"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</row>
    <row r="83" spans="3:64"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</row>
    <row r="84" spans="3:64"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</row>
    <row r="85" spans="3:64"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</row>
    <row r="86" spans="3:64"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</row>
    <row r="87" spans="3:64"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</row>
    <row r="88" spans="3:64"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</row>
    <row r="89" spans="3:64"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</row>
    <row r="90" spans="3:64"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</row>
    <row r="91" spans="3:64"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</row>
    <row r="92" spans="3:64"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</row>
    <row r="93" spans="3:64"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</row>
    <row r="94" spans="3:64"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</row>
    <row r="95" spans="3:64"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</row>
    <row r="96" spans="3:64"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</row>
    <row r="97" spans="3:64"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</row>
    <row r="98" spans="3:64"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</row>
    <row r="99" spans="3:64"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</row>
    <row r="100" spans="3:64"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</row>
    <row r="101" spans="3:64"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</row>
    <row r="102" spans="3:64"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</row>
    <row r="103" spans="3:64"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</row>
    <row r="104" spans="3:64"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</row>
    <row r="105" spans="3:64"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</row>
    <row r="106" spans="3:64"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</row>
    <row r="107" spans="3:64"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</row>
    <row r="108" spans="3:64"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</row>
    <row r="109" spans="3:64"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</row>
    <row r="110" spans="3:64"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</row>
    <row r="111" spans="3:64"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</row>
    <row r="112" spans="3:64"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</row>
    <row r="113" spans="3:64"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</row>
    <row r="114" spans="3:64"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</row>
    <row r="115" spans="3:64"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</row>
    <row r="116" spans="3:64"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</row>
    <row r="117" spans="3:64"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</row>
    <row r="118" spans="3:64"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</row>
    <row r="119" spans="3:64"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</row>
    <row r="120" spans="3:64"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</row>
    <row r="121" spans="3:64"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</row>
    <row r="122" spans="3:64"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</row>
    <row r="123" spans="3:64"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</row>
    <row r="124" spans="3:64"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</row>
    <row r="125" spans="3:64"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</row>
    <row r="126" spans="3:64"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</row>
    <row r="127" spans="3:64"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</row>
    <row r="128" spans="3:64"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</row>
    <row r="129" spans="3:64"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</row>
    <row r="130" spans="3:64"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</row>
    <row r="131" spans="3:64"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</row>
    <row r="132" spans="3:64"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</row>
    <row r="133" spans="3:64"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</row>
    <row r="134" spans="3:64"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</row>
    <row r="135" spans="3:64"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</row>
    <row r="136" spans="3:64"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</row>
    <row r="137" spans="3:64"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</row>
    <row r="138" spans="3:64"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</row>
    <row r="139" spans="3:64"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</row>
    <row r="140" spans="3:64"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</row>
    <row r="141" spans="3:64"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</row>
    <row r="142" spans="3:64"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</row>
    <row r="143" spans="3:64"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</row>
    <row r="144" spans="3:64"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</row>
    <row r="145" spans="3:64"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</row>
    <row r="146" spans="3:64"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</row>
    <row r="147" spans="3:64"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</row>
    <row r="148" spans="3:64"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</row>
    <row r="149" spans="3:64"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</row>
    <row r="150" spans="3:64"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</row>
    <row r="151" spans="3:64"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</row>
    <row r="152" spans="3:64"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</row>
    <row r="153" spans="3:64"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</row>
    <row r="154" spans="3:64"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</row>
    <row r="155" spans="3:64"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</row>
    <row r="156" spans="3:64"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</row>
    <row r="157" spans="3:64"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</row>
    <row r="158" spans="3:64"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</row>
    <row r="159" spans="3:64"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</row>
    <row r="160" spans="3:64"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</row>
    <row r="161" spans="3:64"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</row>
    <row r="162" spans="3:64"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</row>
    <row r="163" spans="3:64"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</row>
    <row r="164" spans="3:64"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</row>
    <row r="165" spans="3:64"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</row>
    <row r="166" spans="3:64"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</row>
    <row r="167" spans="3:64"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</row>
    <row r="168" spans="3:64"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</row>
    <row r="169" spans="3:64"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</row>
    <row r="170" spans="3:64"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</row>
    <row r="171" spans="3:64"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</row>
    <row r="172" spans="3:64"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</row>
    <row r="173" spans="3:64"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</row>
    <row r="174" spans="3:64"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</row>
    <row r="175" spans="3:64"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</row>
    <row r="176" spans="3:64"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</row>
    <row r="177" spans="3:64"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</row>
    <row r="178" spans="3:64"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</row>
    <row r="179" spans="3:64"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</row>
    <row r="180" spans="3:64"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</row>
    <row r="181" spans="3:64"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</row>
    <row r="182" spans="3:64"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</row>
    <row r="183" spans="3:64"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</row>
    <row r="184" spans="3:64"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</row>
    <row r="185" spans="3:64"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</row>
    <row r="186" spans="3:64"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</row>
    <row r="187" spans="3:64"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</row>
    <row r="188" spans="3:64"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</row>
    <row r="189" spans="3:64"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</row>
    <row r="190" spans="3:64"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</row>
    <row r="191" spans="3:64"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</row>
    <row r="192" spans="3:64"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</row>
    <row r="193" spans="3:64"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</row>
    <row r="194" spans="3:64"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</row>
    <row r="195" spans="3:64"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</row>
    <row r="196" spans="3:64"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</row>
    <row r="197" spans="3:64"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</row>
    <row r="198" spans="3:64"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</row>
    <row r="199" spans="3:64"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</row>
    <row r="200" spans="3:64"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</row>
    <row r="201" spans="3:64"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</row>
    <row r="202" spans="3:64"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</row>
    <row r="203" spans="3:64"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</row>
    <row r="204" spans="3:64"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</row>
    <row r="205" spans="3:64"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</row>
    <row r="206" spans="3:64"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</row>
    <row r="207" spans="3:64"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</row>
    <row r="208" spans="3:64"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</row>
    <row r="209" spans="3:64"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</row>
    <row r="210" spans="3:64"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</row>
    <row r="211" spans="3:64"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</row>
    <row r="212" spans="3:64"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</row>
    <row r="213" spans="3:64"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</row>
    <row r="214" spans="3:64"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</row>
    <row r="215" spans="3:64"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</row>
    <row r="216" spans="3:64"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</row>
    <row r="217" spans="3:64"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</row>
    <row r="218" spans="3:64"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</row>
    <row r="219" spans="3:64"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</row>
    <row r="220" spans="3:64"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</row>
    <row r="221" spans="3:64"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</row>
    <row r="222" spans="3:64"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</row>
    <row r="223" spans="3:64"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</row>
    <row r="224" spans="3:64"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</row>
    <row r="225" spans="3:64"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</row>
    <row r="226" spans="3:64"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</row>
    <row r="227" spans="3:64"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</row>
    <row r="228" spans="3:64"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</row>
    <row r="229" spans="3:64"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spans="3:64"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spans="3:64"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spans="3:64"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spans="3:64"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spans="3:64"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spans="3:64"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spans="3:64"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spans="3:64"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spans="3:64"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spans="3:64"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spans="3:64"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spans="3:14"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spans="3:14"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spans="3:14"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spans="3:14"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spans="3:14"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spans="3:14"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spans="3:14"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spans="3:14"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spans="3:14"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spans="3:14"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spans="3:14"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spans="3:14"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spans="3:14"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spans="3:14"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spans="3:14"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spans="3:14"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spans="3:14"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spans="3:14"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spans="3:14"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spans="3:14"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spans="3:14"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spans="3:14"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spans="3:14"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spans="3:14"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spans="3:14"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spans="3:14"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spans="3:14"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spans="3:14"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spans="3:14"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spans="3:14"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spans="3:14"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spans="3:14"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spans="3:14"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spans="3:14"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spans="3:14"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spans="3:14"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spans="3:14"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spans="3:14"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spans="3:14"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spans="3:14"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spans="3:14"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spans="3:14"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spans="3:14"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spans="3:14"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spans="3:14"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spans="3:14"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spans="3:14"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spans="3:14"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spans="3:14"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spans="3:14"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spans="3:14"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spans="3:14"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spans="3:14"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spans="3:14"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spans="3:14"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spans="3:14"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spans="3:14"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spans="3:14"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spans="3:14"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spans="3:14"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spans="3:14"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spans="3:14"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spans="3:14"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spans="3:14"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spans="3:14"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spans="3:14"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spans="3:14"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spans="3:14"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spans="3:14"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spans="3:14"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spans="3:14"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spans="3:14"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spans="3:14"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spans="3:14"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spans="3:14"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spans="3:14"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spans="3:14"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spans="3:14"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spans="3:14"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spans="3:14"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spans="3:14"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spans="3:14"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spans="3:14"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spans="3:14"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spans="3:14"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spans="3:14"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spans="3:14"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spans="3:14"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spans="3:14"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spans="3:14"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spans="3:14"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spans="3:14"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spans="3:14"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spans="3:14"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spans="3:14"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spans="3:14"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spans="3:14"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spans="3:14"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spans="3:14"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spans="3:14"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spans="3:14"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spans="3:14"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spans="3:14"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spans="3:14"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spans="3:14"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spans="3:14"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spans="3:14"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spans="3:14"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spans="3:14"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spans="3:14"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spans="3:14"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spans="3:14"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spans="3:14"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spans="3:14"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spans="3:14"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spans="3:14">
      <c r="C356" s="34"/>
    </row>
    <row r="357" spans="3:14">
      <c r="C357" s="34"/>
    </row>
    <row r="358" spans="3:14">
      <c r="C358" s="34"/>
    </row>
    <row r="359" spans="3:14">
      <c r="C359" s="34"/>
    </row>
    <row r="360" spans="3:14">
      <c r="C360" s="34"/>
    </row>
    <row r="361" spans="3:14">
      <c r="C361" s="34"/>
    </row>
    <row r="362" spans="3:14">
      <c r="C362" s="34"/>
    </row>
    <row r="363" spans="3:14">
      <c r="C363" s="34"/>
    </row>
    <row r="364" spans="3:14">
      <c r="C364" s="34"/>
    </row>
    <row r="365" spans="3:14">
      <c r="C365" s="34"/>
    </row>
    <row r="366" spans="3:14">
      <c r="C366" s="34"/>
    </row>
    <row r="367" spans="3:14">
      <c r="C367" s="34"/>
    </row>
    <row r="368" spans="3:14">
      <c r="C368" s="34"/>
    </row>
    <row r="369" spans="3:3">
      <c r="C369" s="34"/>
    </row>
    <row r="370" spans="3:3">
      <c r="C370" s="34"/>
    </row>
    <row r="371" spans="3:3">
      <c r="C371" s="34"/>
    </row>
    <row r="372" spans="3:3">
      <c r="C372" s="34"/>
    </row>
    <row r="373" spans="3:3">
      <c r="C373" s="34"/>
    </row>
    <row r="374" spans="3:3">
      <c r="C374" s="34"/>
    </row>
    <row r="375" spans="3:3">
      <c r="C375" s="34"/>
    </row>
    <row r="376" spans="3:3">
      <c r="C376" s="34"/>
    </row>
    <row r="377" spans="3:3">
      <c r="C377" s="34"/>
    </row>
    <row r="378" spans="3:3">
      <c r="C378" s="34"/>
    </row>
    <row r="379" spans="3:3">
      <c r="C379" s="34"/>
    </row>
    <row r="380" spans="3:3">
      <c r="C380" s="34"/>
    </row>
    <row r="381" spans="3:3">
      <c r="C381" s="34"/>
    </row>
    <row r="382" spans="3:3">
      <c r="C382" s="34"/>
    </row>
    <row r="383" spans="3:3">
      <c r="C383" s="34"/>
    </row>
    <row r="384" spans="3:3">
      <c r="C384" s="34"/>
    </row>
    <row r="385" spans="3:3">
      <c r="C385" s="34"/>
    </row>
    <row r="386" spans="3:3">
      <c r="C386" s="34"/>
    </row>
    <row r="387" spans="3:3">
      <c r="C387" s="34"/>
    </row>
    <row r="388" spans="3:3">
      <c r="C388" s="34"/>
    </row>
    <row r="389" spans="3:3">
      <c r="C389" s="34"/>
    </row>
    <row r="390" spans="3:3">
      <c r="C390" s="34"/>
    </row>
    <row r="391" spans="3:3">
      <c r="C391" s="34"/>
    </row>
    <row r="392" spans="3:3">
      <c r="C392" s="34"/>
    </row>
    <row r="393" spans="3:3">
      <c r="C393" s="34"/>
    </row>
    <row r="394" spans="3:3">
      <c r="C394" s="34"/>
    </row>
    <row r="395" spans="3:3">
      <c r="C395" s="34"/>
    </row>
    <row r="396" spans="3:3">
      <c r="C396" s="34"/>
    </row>
    <row r="397" spans="3:3">
      <c r="C397" s="34"/>
    </row>
    <row r="398" spans="3:3">
      <c r="C398" s="34"/>
    </row>
    <row r="399" spans="3:3">
      <c r="C399" s="34"/>
    </row>
    <row r="400" spans="3:3">
      <c r="C400" s="34"/>
    </row>
    <row r="401" spans="3:3">
      <c r="C401" s="34"/>
    </row>
    <row r="402" spans="3:3">
      <c r="C402" s="34"/>
    </row>
    <row r="403" spans="3:3">
      <c r="C403" s="34"/>
    </row>
    <row r="404" spans="3:3">
      <c r="C404" s="34"/>
    </row>
    <row r="405" spans="3:3">
      <c r="C405" s="34"/>
    </row>
    <row r="406" spans="3:3">
      <c r="C406" s="34"/>
    </row>
    <row r="407" spans="3:3">
      <c r="C407" s="34"/>
    </row>
    <row r="408" spans="3:3">
      <c r="C408" s="34"/>
    </row>
    <row r="409" spans="3:3">
      <c r="C409" s="34"/>
    </row>
    <row r="410" spans="3:3">
      <c r="C410" s="34"/>
    </row>
    <row r="411" spans="3:3">
      <c r="C411" s="34"/>
    </row>
    <row r="412" spans="3:3">
      <c r="C412" s="34"/>
    </row>
    <row r="413" spans="3:3">
      <c r="C413" s="34"/>
    </row>
    <row r="414" spans="3:3">
      <c r="C414" s="34"/>
    </row>
    <row r="415" spans="3:3">
      <c r="C415" s="34"/>
    </row>
    <row r="416" spans="3:3">
      <c r="C416" s="34"/>
    </row>
    <row r="417" spans="3:3">
      <c r="C417" s="34"/>
    </row>
    <row r="418" spans="3:3">
      <c r="C418" s="34"/>
    </row>
    <row r="419" spans="3:3">
      <c r="C419" s="34"/>
    </row>
    <row r="420" spans="3:3">
      <c r="C420" s="34"/>
    </row>
    <row r="421" spans="3:3">
      <c r="C421" s="34"/>
    </row>
    <row r="422" spans="3:3">
      <c r="C422" s="34"/>
    </row>
    <row r="423" spans="3:3">
      <c r="C423" s="34"/>
    </row>
    <row r="424" spans="3:3">
      <c r="C424" s="34"/>
    </row>
    <row r="425" spans="3:3">
      <c r="C425" s="34"/>
    </row>
    <row r="426" spans="3:3">
      <c r="C426" s="34"/>
    </row>
    <row r="427" spans="3:3">
      <c r="C427" s="34"/>
    </row>
    <row r="428" spans="3:3">
      <c r="C428" s="34"/>
    </row>
    <row r="429" spans="3:3">
      <c r="C429" s="34"/>
    </row>
    <row r="430" spans="3:3">
      <c r="C430" s="34"/>
    </row>
    <row r="431" spans="3:3">
      <c r="C431" s="34"/>
    </row>
    <row r="432" spans="3:3">
      <c r="C432" s="34"/>
    </row>
    <row r="433" spans="3:3">
      <c r="C433" s="34"/>
    </row>
    <row r="434" spans="3:3">
      <c r="C434" s="34"/>
    </row>
    <row r="435" spans="3:3">
      <c r="C435" s="34"/>
    </row>
    <row r="436" spans="3:3">
      <c r="C436" s="34"/>
    </row>
    <row r="437" spans="3:3">
      <c r="C437" s="34"/>
    </row>
    <row r="438" spans="3:3">
      <c r="C438" s="34"/>
    </row>
    <row r="439" spans="3:3">
      <c r="C439" s="34"/>
    </row>
    <row r="440" spans="3:3">
      <c r="C440" s="34"/>
    </row>
    <row r="441" spans="3:3">
      <c r="C441" s="34"/>
    </row>
    <row r="442" spans="3:3">
      <c r="C442" s="34"/>
    </row>
    <row r="443" spans="3:3">
      <c r="C443" s="34"/>
    </row>
    <row r="444" spans="3:3">
      <c r="C444" s="34"/>
    </row>
    <row r="445" spans="3:3">
      <c r="C445" s="34"/>
    </row>
    <row r="446" spans="3:3">
      <c r="C446" s="34"/>
    </row>
    <row r="447" spans="3:3">
      <c r="C447" s="34"/>
    </row>
    <row r="448" spans="3:3">
      <c r="C448" s="34"/>
    </row>
    <row r="449" spans="3:3">
      <c r="C449" s="34"/>
    </row>
    <row r="450" spans="3:3">
      <c r="C450" s="34"/>
    </row>
    <row r="451" spans="3:3">
      <c r="C451" s="34"/>
    </row>
    <row r="452" spans="3:3">
      <c r="C452" s="34"/>
    </row>
    <row r="453" spans="3:3">
      <c r="C453" s="34"/>
    </row>
    <row r="454" spans="3:3">
      <c r="C454" s="34"/>
    </row>
    <row r="455" spans="3:3">
      <c r="C455" s="34"/>
    </row>
    <row r="456" spans="3:3">
      <c r="C456" s="34"/>
    </row>
    <row r="457" spans="3:3">
      <c r="C457" s="34"/>
    </row>
    <row r="458" spans="3:3">
      <c r="C458" s="34"/>
    </row>
  </sheetData>
  <mergeCells count="61">
    <mergeCell ref="D55:E55"/>
    <mergeCell ref="F55:L55"/>
    <mergeCell ref="M55:N55"/>
    <mergeCell ref="D53:E53"/>
    <mergeCell ref="F53:L53"/>
    <mergeCell ref="M53:N53"/>
    <mergeCell ref="D54:E54"/>
    <mergeCell ref="F54:L54"/>
    <mergeCell ref="M54:N54"/>
    <mergeCell ref="D51:E51"/>
    <mergeCell ref="F51:L51"/>
    <mergeCell ref="M51:N51"/>
    <mergeCell ref="D52:E52"/>
    <mergeCell ref="F52:L52"/>
    <mergeCell ref="M52:N52"/>
    <mergeCell ref="D49:E49"/>
    <mergeCell ref="F49:L49"/>
    <mergeCell ref="M49:N49"/>
    <mergeCell ref="D50:E50"/>
    <mergeCell ref="F50:L50"/>
    <mergeCell ref="M50:N50"/>
    <mergeCell ref="D46:E47"/>
    <mergeCell ref="F46:L47"/>
    <mergeCell ref="M46:N47"/>
    <mergeCell ref="D48:E48"/>
    <mergeCell ref="F48:L48"/>
    <mergeCell ref="M48:N48"/>
    <mergeCell ref="D44:E44"/>
    <mergeCell ref="F44:L44"/>
    <mergeCell ref="M44:N44"/>
    <mergeCell ref="D45:E45"/>
    <mergeCell ref="F45:L45"/>
    <mergeCell ref="M45:N45"/>
    <mergeCell ref="D42:E42"/>
    <mergeCell ref="F42:L42"/>
    <mergeCell ref="M42:N42"/>
    <mergeCell ref="D43:E43"/>
    <mergeCell ref="F43:L43"/>
    <mergeCell ref="M43:N43"/>
    <mergeCell ref="D17:E17"/>
    <mergeCell ref="F17:L17"/>
    <mergeCell ref="M17:N17"/>
    <mergeCell ref="D20:N21"/>
    <mergeCell ref="D35:E35"/>
    <mergeCell ref="F35:L35"/>
    <mergeCell ref="M35:N35"/>
    <mergeCell ref="D36:E36"/>
    <mergeCell ref="F36:L36"/>
    <mergeCell ref="M36:N36"/>
    <mergeCell ref="D37:E37"/>
    <mergeCell ref="F37:L37"/>
    <mergeCell ref="M37:N37"/>
    <mergeCell ref="D40:E41"/>
    <mergeCell ref="F40:L41"/>
    <mergeCell ref="M40:N41"/>
    <mergeCell ref="D38:E38"/>
    <mergeCell ref="F38:L38"/>
    <mergeCell ref="M38:N38"/>
    <mergeCell ref="D39:E39"/>
    <mergeCell ref="F39:L39"/>
    <mergeCell ref="M39:N3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77FB-FE27-4837-80B8-E759C2A1BB8F}">
  <dimension ref="A2:R38"/>
  <sheetViews>
    <sheetView topLeftCell="A8" zoomScale="56" workbookViewId="0">
      <selection activeCell="F35" sqref="F35"/>
    </sheetView>
  </sheetViews>
  <sheetFormatPr defaultColWidth="8.6640625" defaultRowHeight="13.8"/>
  <cols>
    <col min="1" max="1" width="20.6640625" style="2" customWidth="1"/>
    <col min="2" max="2" width="17.33203125" style="2" customWidth="1"/>
    <col min="3" max="7" width="8.6640625" style="2"/>
    <col min="8" max="8" width="17.33203125" style="2" bestFit="1" customWidth="1"/>
    <col min="9" max="9" width="10.109375" style="2" bestFit="1" customWidth="1"/>
    <col min="10" max="10" width="9.33203125" style="2" bestFit="1" customWidth="1"/>
    <col min="11" max="11" width="9.5546875" style="2" bestFit="1" customWidth="1"/>
    <col min="12" max="12" width="28" style="2" bestFit="1" customWidth="1"/>
    <col min="13" max="16384" width="8.6640625" style="2"/>
  </cols>
  <sheetData>
    <row r="2" spans="1:18" ht="15.6">
      <c r="A2" s="88">
        <v>19</v>
      </c>
      <c r="B2" s="92"/>
      <c r="E2" s="92">
        <v>21</v>
      </c>
      <c r="F2" s="91"/>
      <c r="H2">
        <v>19</v>
      </c>
      <c r="I2">
        <v>21</v>
      </c>
      <c r="J2"/>
      <c r="K2"/>
      <c r="L2"/>
    </row>
    <row r="3" spans="1:18" ht="15.6">
      <c r="A3" s="88">
        <v>10</v>
      </c>
      <c r="B3" s="92"/>
      <c r="E3" s="92">
        <v>5</v>
      </c>
      <c r="F3" s="91"/>
      <c r="H3" s="14"/>
      <c r="I3" s="14"/>
      <c r="J3"/>
      <c r="K3"/>
      <c r="L3"/>
    </row>
    <row r="4" spans="1:18" ht="15.6">
      <c r="A4" s="88">
        <v>3</v>
      </c>
      <c r="B4" s="92"/>
      <c r="E4" s="92">
        <v>8</v>
      </c>
      <c r="F4" s="91"/>
      <c r="H4"/>
      <c r="I4"/>
      <c r="J4"/>
      <c r="K4"/>
      <c r="L4"/>
    </row>
    <row r="5" spans="1:18" ht="15.6">
      <c r="A5" s="88">
        <v>6</v>
      </c>
      <c r="B5" s="92"/>
      <c r="E5" s="92">
        <v>8</v>
      </c>
      <c r="F5" s="91"/>
      <c r="H5"/>
      <c r="I5"/>
      <c r="J5"/>
      <c r="K5"/>
      <c r="L5"/>
    </row>
    <row r="6" spans="1:18" ht="15.6">
      <c r="A6" s="88">
        <v>0</v>
      </c>
      <c r="B6" s="92"/>
      <c r="E6" s="92">
        <v>0</v>
      </c>
      <c r="F6" s="91"/>
      <c r="H6"/>
      <c r="I6"/>
      <c r="J6"/>
      <c r="K6"/>
      <c r="L6"/>
    </row>
    <row r="7" spans="1:18" ht="15" customHeight="1">
      <c r="A7" s="100">
        <v>12</v>
      </c>
      <c r="B7" s="104"/>
      <c r="E7" s="104">
        <v>6</v>
      </c>
      <c r="F7" s="97"/>
      <c r="H7"/>
      <c r="I7"/>
      <c r="J7" s="21"/>
      <c r="K7" s="20" t="s">
        <v>87</v>
      </c>
      <c r="L7" s="20" t="s">
        <v>88</v>
      </c>
    </row>
    <row r="8" spans="1:18" ht="15" customHeight="1">
      <c r="A8" s="102"/>
      <c r="B8" s="105"/>
      <c r="E8" s="105"/>
      <c r="F8" s="99"/>
      <c r="H8"/>
      <c r="I8"/>
      <c r="J8" s="20">
        <v>1</v>
      </c>
      <c r="K8" s="20" t="s">
        <v>89</v>
      </c>
      <c r="L8" s="20" t="s">
        <v>90</v>
      </c>
    </row>
    <row r="9" spans="1:18" ht="15.6">
      <c r="A9" s="88">
        <v>3</v>
      </c>
      <c r="B9" s="92"/>
      <c r="E9" s="92">
        <v>3</v>
      </c>
      <c r="F9" s="91"/>
      <c r="H9"/>
      <c r="I9"/>
      <c r="J9" s="20">
        <v>2</v>
      </c>
      <c r="K9" s="21" t="s">
        <v>13</v>
      </c>
      <c r="L9" s="21">
        <v>12</v>
      </c>
    </row>
    <row r="10" spans="1:18" ht="15.6">
      <c r="A10" s="88">
        <v>14</v>
      </c>
      <c r="B10" s="92"/>
      <c r="E10" s="92">
        <v>6</v>
      </c>
      <c r="F10" s="91"/>
      <c r="H10"/>
      <c r="I10"/>
      <c r="J10" s="20">
        <v>3</v>
      </c>
      <c r="K10" s="21" t="s">
        <v>91</v>
      </c>
      <c r="L10" s="21">
        <v>55</v>
      </c>
    </row>
    <row r="11" spans="1:18" ht="15.6">
      <c r="A11" s="88">
        <v>1</v>
      </c>
      <c r="B11" s="92"/>
      <c r="E11" s="92">
        <v>1</v>
      </c>
      <c r="F11" s="91"/>
      <c r="H11"/>
      <c r="I11"/>
      <c r="J11"/>
      <c r="K11"/>
      <c r="L11"/>
    </row>
    <row r="12" spans="1:18" ht="15">
      <c r="A12" s="88">
        <v>0</v>
      </c>
      <c r="B12" s="92"/>
      <c r="E12" s="92">
        <v>0</v>
      </c>
      <c r="F12" s="91"/>
      <c r="H12" s="84">
        <v>0.46</v>
      </c>
      <c r="I12" s="85"/>
      <c r="J12" s="75"/>
      <c r="K12" s="76"/>
      <c r="L12" s="76"/>
      <c r="M12" s="76"/>
      <c r="N12" s="76"/>
      <c r="O12" s="76"/>
      <c r="P12" s="77"/>
      <c r="Q12" s="86">
        <v>0.54</v>
      </c>
      <c r="R12" s="87"/>
    </row>
    <row r="13" spans="1:18" ht="15" customHeight="1">
      <c r="A13" s="100">
        <v>536</v>
      </c>
      <c r="B13" s="104"/>
      <c r="E13" s="104">
        <v>675</v>
      </c>
      <c r="F13" s="97"/>
      <c r="H13"/>
      <c r="I13"/>
      <c r="J13"/>
      <c r="K13"/>
      <c r="L13"/>
    </row>
    <row r="14" spans="1:18" ht="15" customHeight="1">
      <c r="A14" s="102"/>
      <c r="B14" s="105"/>
      <c r="E14" s="105"/>
      <c r="F14" s="99"/>
      <c r="H14"/>
      <c r="I14"/>
      <c r="J14"/>
      <c r="K14"/>
      <c r="L14"/>
    </row>
    <row r="15" spans="1:18" ht="15.6">
      <c r="A15" s="88">
        <v>13</v>
      </c>
      <c r="B15" s="92"/>
      <c r="E15" s="92">
        <v>16</v>
      </c>
      <c r="F15" s="91"/>
      <c r="H15"/>
      <c r="I15"/>
      <c r="J15"/>
      <c r="K15"/>
      <c r="L15"/>
    </row>
    <row r="16" spans="1:18" ht="15.6">
      <c r="A16" s="88" t="s">
        <v>62</v>
      </c>
      <c r="B16" s="92"/>
      <c r="E16" s="92" t="s">
        <v>64</v>
      </c>
      <c r="F16" s="91"/>
      <c r="H16"/>
      <c r="I16"/>
      <c r="J16"/>
      <c r="K16"/>
      <c r="L16"/>
    </row>
    <row r="17" spans="1:12" ht="15.6">
      <c r="A17" s="88" t="s">
        <v>65</v>
      </c>
      <c r="B17" s="92"/>
      <c r="E17" s="92" t="s">
        <v>67</v>
      </c>
      <c r="F17" s="91"/>
      <c r="H17"/>
      <c r="I17"/>
      <c r="J17"/>
      <c r="K17"/>
      <c r="L17"/>
    </row>
    <row r="18" spans="1:12" ht="15.6">
      <c r="A18" s="88" t="s">
        <v>68</v>
      </c>
      <c r="B18" s="92"/>
      <c r="E18" s="92" t="s">
        <v>70</v>
      </c>
      <c r="F18" s="91"/>
      <c r="H18"/>
      <c r="I18"/>
      <c r="J18"/>
      <c r="K18"/>
      <c r="L18"/>
    </row>
    <row r="19" spans="1:12" ht="15.6">
      <c r="A19" s="88">
        <v>20</v>
      </c>
      <c r="B19" s="92"/>
      <c r="E19" s="92">
        <v>33</v>
      </c>
      <c r="F19" s="91"/>
      <c r="H19"/>
      <c r="I19"/>
      <c r="J19"/>
      <c r="K19"/>
      <c r="L19"/>
    </row>
    <row r="20" spans="1:12" ht="15">
      <c r="A20" s="88">
        <v>12</v>
      </c>
      <c r="B20" s="92"/>
      <c r="E20" s="92">
        <v>14</v>
      </c>
      <c r="F20" s="91"/>
    </row>
    <row r="21" spans="1:12" ht="15">
      <c r="A21" s="88">
        <v>12</v>
      </c>
      <c r="B21" s="92"/>
      <c r="E21" s="92">
        <v>55</v>
      </c>
      <c r="F21" s="91"/>
    </row>
    <row r="22" spans="1:12" ht="15">
      <c r="A22" s="88">
        <v>7</v>
      </c>
      <c r="B22" s="92"/>
      <c r="E22" s="92">
        <v>2</v>
      </c>
      <c r="F22" s="91"/>
    </row>
    <row r="30" spans="1:12">
      <c r="A30" s="21"/>
      <c r="B30" s="20" t="s">
        <v>87</v>
      </c>
      <c r="C30" s="20" t="s">
        <v>88</v>
      </c>
    </row>
    <row r="31" spans="1:12">
      <c r="A31" s="20">
        <v>1</v>
      </c>
      <c r="B31" s="20" t="s">
        <v>89</v>
      </c>
      <c r="C31" s="20" t="s">
        <v>90</v>
      </c>
    </row>
    <row r="32" spans="1:12">
      <c r="A32" s="20">
        <v>2</v>
      </c>
      <c r="B32" s="21" t="s">
        <v>13</v>
      </c>
      <c r="C32" s="21">
        <v>4</v>
      </c>
    </row>
    <row r="33" spans="1:3">
      <c r="A33" s="20">
        <v>3</v>
      </c>
      <c r="B33" s="21" t="s">
        <v>91</v>
      </c>
      <c r="C33" s="21">
        <v>27</v>
      </c>
    </row>
    <row r="35" spans="1:3">
      <c r="A35" s="2" t="s">
        <v>87</v>
      </c>
      <c r="B35" s="2" t="s">
        <v>88</v>
      </c>
    </row>
    <row r="36" spans="1:3">
      <c r="A36" s="2" t="s">
        <v>13</v>
      </c>
      <c r="B36" s="2">
        <v>185</v>
      </c>
    </row>
    <row r="37" spans="1:3">
      <c r="A37" s="2" t="s">
        <v>92</v>
      </c>
      <c r="B37" s="2">
        <v>113</v>
      </c>
    </row>
    <row r="38" spans="1:3">
      <c r="A38" s="2" t="s">
        <v>89</v>
      </c>
      <c r="B38" s="2" t="s">
        <v>93</v>
      </c>
    </row>
  </sheetData>
  <mergeCells count="41">
    <mergeCell ref="A22:B22"/>
    <mergeCell ref="A16:B16"/>
    <mergeCell ref="A17:B17"/>
    <mergeCell ref="A18:B18"/>
    <mergeCell ref="A19:B19"/>
    <mergeCell ref="A20:B20"/>
    <mergeCell ref="A21:B21"/>
    <mergeCell ref="Q12:R12"/>
    <mergeCell ref="J12:P12"/>
    <mergeCell ref="H12:I12"/>
    <mergeCell ref="A15:B15"/>
    <mergeCell ref="A13:B14"/>
    <mergeCell ref="A2:B2"/>
    <mergeCell ref="A3:B3"/>
    <mergeCell ref="A4:B4"/>
    <mergeCell ref="A5:B5"/>
    <mergeCell ref="A6:B6"/>
    <mergeCell ref="A7:B8"/>
    <mergeCell ref="A9:B9"/>
    <mergeCell ref="A10:B10"/>
    <mergeCell ref="A11:B11"/>
    <mergeCell ref="A12:B12"/>
    <mergeCell ref="E10:F10"/>
    <mergeCell ref="E12:F12"/>
    <mergeCell ref="E13:F14"/>
    <mergeCell ref="E15:F15"/>
    <mergeCell ref="E16:F16"/>
    <mergeCell ref="E20:F20"/>
    <mergeCell ref="E21:F21"/>
    <mergeCell ref="E22:F22"/>
    <mergeCell ref="E11:F11"/>
    <mergeCell ref="E17:F17"/>
    <mergeCell ref="E18:F18"/>
    <mergeCell ref="E19:F19"/>
    <mergeCell ref="E2:F2"/>
    <mergeCell ref="E9:F9"/>
    <mergeCell ref="E7:F8"/>
    <mergeCell ref="E6:F6"/>
    <mergeCell ref="E5:F5"/>
    <mergeCell ref="E4:F4"/>
    <mergeCell ref="E3:F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33D225-8CDD-42B0-912B-06D98F7DEA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KLASEMEN</vt:lpstr>
      <vt:lpstr>INFO</vt:lpstr>
      <vt:lpstr>PERTANDINGAN</vt:lpstr>
      <vt:lpstr>BABAK PERTAMA</vt:lpstr>
      <vt:lpstr>BABAK KEDUA</vt:lpstr>
      <vt:lpstr>EXTRA TIME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muhammadsyahrazza13@gmail.com</dc:creator>
  <cp:keywords/>
  <dc:description/>
  <cp:lastModifiedBy>sujali2014@gmail.com</cp:lastModifiedBy>
  <cp:revision/>
  <cp:lastPrinted>2025-12-06T04:17:13Z</cp:lastPrinted>
  <dcterms:created xsi:type="dcterms:W3CDTF">2025-11-14T07:12:45Z</dcterms:created>
  <dcterms:modified xsi:type="dcterms:W3CDTF">2025-12-06T04:17:23Z</dcterms:modified>
  <cp:category/>
  <cp:contentStatus/>
</cp:coreProperties>
</file>